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BB an 3 sem 2\VVSS\docs\Lab03\"/>
    </mc:Choice>
  </mc:AlternateContent>
  <xr:revisionPtr revIDLastSave="0" documentId="13_ncr:1_{F5CBF97A-5138-4D66-B806-AF475DE771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tement" sheetId="1" r:id="rId1"/>
    <sheet name="F02.CFG-Paths" sheetId="2" r:id="rId2"/>
    <sheet name="F02.TCs" sheetId="3" r:id="rId3"/>
    <sheet name="W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4" l="1"/>
  <c r="N29" i="4"/>
  <c r="I29" i="4"/>
</calcChain>
</file>

<file path=xl/sharedStrings.xml><?xml version="1.0" encoding="utf-8"?>
<sst xmlns="http://schemas.openxmlformats.org/spreadsheetml/2006/main" count="502" uniqueCount="210">
  <si>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</si>
  <si>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</si>
  <si>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</si>
  <si>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</si>
  <si>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</si>
  <si>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</si>
  <si>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</si>
  <si>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</si>
  <si>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</si>
  <si>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</si>
  <si>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Razvan</t>
  </si>
  <si>
    <t>Student 2:</t>
  </si>
  <si>
    <t>2. MyDrinkShop – Gestiunea unui bar/cafenea</t>
  </si>
  <si>
    <t>Student 3:</t>
  </si>
  <si>
    <t>Aplicatia MyDrinkShop gestioneaza produse, retete, stocuri si comenzi. Permite adaugarea, stergerea si filtrarea produselor, gestionarea stocurilor de ingrediente si procesarea comenzilor.</t>
  </si>
  <si>
    <t>F02. Verificarea disponibilitatii stocului pentru prepararea unui produs – StocService.areSuficient(Reteta reteta)</t>
  </si>
  <si>
    <t>F02. StocService.areSuficient(Reteta reteta) – verifica daca stocul este suficient pentru toate ingredientele dintr-o reteta.</t>
  </si>
  <si>
    <t xml:space="preserve">F02. Covered source code </t>
  </si>
  <si>
    <t>F02. Control Flow Graph (CFG)</t>
  </si>
  <si>
    <t>F02. Cyclomatic Complexity (CC)</t>
  </si>
  <si>
    <t>public boolean areSuficient(Reteta reteta) {</t>
  </si>
  <si>
    <t>CC1 = No. of regions =</t>
  </si>
  <si>
    <t>CC2 = Edges - Nodes + 2*P =</t>
  </si>
  <si>
    <t xml:space="preserve">        throw new IllegalArgumentException("Reteta nu poate fi null");</t>
  </si>
  <si>
    <t>CC3 = No. of Conditions + 1 =</t>
  </si>
  <si>
    <t>6 + 1 = 7</t>
  </si>
  <si>
    <t xml:space="preserve">    }</t>
  </si>
  <si>
    <t xml:space="preserve">    List&lt;IngredientReteta&gt; ingr = reteta.getIngrediente();</t>
  </si>
  <si>
    <t>F02. Individual Paths</t>
  </si>
  <si>
    <t xml:space="preserve">        return true;</t>
  </si>
  <si>
    <t>F02_P01</t>
  </si>
  <si>
    <t>F02_P02</t>
  </si>
  <si>
    <t>F02_P03</t>
  </si>
  <si>
    <t>F02_P04</t>
  </si>
  <si>
    <t>F02_P05</t>
  </si>
  <si>
    <t xml:space="preserve">        String ingredient = e.getDenumire();</t>
  </si>
  <si>
    <t>F02_P06</t>
  </si>
  <si>
    <t xml:space="preserve">        double necesar = e.getCantitate();</t>
  </si>
  <si>
    <t>F02_P07</t>
  </si>
  <si>
    <t xml:space="preserve">        double disponibil = stocRepo.findAll().stream()...sum();</t>
  </si>
  <si>
    <t xml:space="preserve">    return true;</t>
  </si>
  <si>
    <t>}</t>
  </si>
  <si>
    <t>F02. StocService.areSuficient(Reteta reteta) – verifica daca stocul este suficient pentru toate ingredientele din reteta.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</si>
  <si>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</si>
  <si>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</si>
  <si>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</si>
  <si>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</si>
  <si>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</si>
  <si>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</si>
  <si>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</si>
  <si>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</si>
  <si>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…</t>
  </si>
  <si>
    <t>D1: reteta==null</t>
  </si>
  <si>
    <t>D2: ingr==null</t>
  </si>
  <si>
    <t>D3: isEmpty()</t>
  </si>
  <si>
    <t>D5: necesar&lt;=0</t>
  </si>
  <si>
    <t>D6: disponibil&lt;necesar</t>
  </si>
  <si>
    <t>P1</t>
  </si>
  <si>
    <t>P2</t>
  </si>
  <si>
    <t>P3</t>
  </si>
  <si>
    <t>P5</t>
  </si>
  <si>
    <t>n-1</t>
  </si>
  <si>
    <t>n</t>
  </si>
  <si>
    <t>n+1</t>
  </si>
  <si>
    <t>m&lt;n</t>
  </si>
  <si>
    <t>T</t>
  </si>
  <si>
    <t>F</t>
  </si>
  <si>
    <t>F02_TC01</t>
  </si>
  <si>
    <t>reteta=null</t>
  </si>
  <si>
    <t>throws IAE</t>
  </si>
  <si>
    <t>L01,L02,L03</t>
  </si>
  <si>
    <t>X</t>
  </si>
  <si>
    <t>-</t>
  </si>
  <si>
    <t>F02_TC02</t>
  </si>
  <si>
    <t>reteta.getIngrediente()=null</t>
  </si>
  <si>
    <t>true</t>
  </si>
  <si>
    <t>F02_TC03</t>
  </si>
  <si>
    <t>reteta.getIngrediente()=[]</t>
  </si>
  <si>
    <t>F02_TC04</t>
  </si>
  <si>
    <t>reteta=[{apa,0.0}]; stoc=[]</t>
  </si>
  <si>
    <t>F02_TC05</t>
  </si>
  <si>
    <t>reteta=[{apa,100.0}]; stoc=[apa:50]</t>
  </si>
  <si>
    <t>false</t>
  </si>
  <si>
    <t>F02_TC06</t>
  </si>
  <si>
    <t>reteta=[{apa,100.0}]; stoc=[apa:150]</t>
  </si>
  <si>
    <t>F02_TC07</t>
  </si>
  <si>
    <t>reteta=[{apa,100},{zahar,200}]; stoc=[apa:200,zahar:300]</t>
  </si>
  <si>
    <t>F02_TC08</t>
  </si>
  <si>
    <t>reteta=[{apa,100},{zahar,200}]; stoc=[apa:200,zahar:50]</t>
  </si>
  <si>
    <t>F02_TC09</t>
  </si>
  <si>
    <t>reteta=[{apa,100.0}]; stoc=[apa:100]</t>
  </si>
  <si>
    <t>F02_TC10</t>
  </si>
  <si>
    <t>reteta=[{apa,-5.0}]; stoc=[apa:0]</t>
  </si>
  <si>
    <t>WBT Implemented TCs</t>
  </si>
  <si>
    <t>Final        TC No.</t>
  </si>
  <si>
    <t>Req. ID</t>
  </si>
  <si>
    <t>TC No</t>
  </si>
  <si>
    <t>input data</t>
  </si>
  <si>
    <t>output data</t>
  </si>
  <si>
    <t>reteta (Reteta)</t>
  </si>
  <si>
    <t>stoc list</t>
  </si>
  <si>
    <t>expected</t>
  </si>
  <si>
    <t>actual result</t>
  </si>
  <si>
    <t>F02</t>
  </si>
  <si>
    <t>null (reteta=null)</t>
  </si>
  <si>
    <t>Reteta(1,[])</t>
  </si>
  <si>
    <t>Reteta(1,[{apa,100.0}])</t>
  </si>
  <si>
    <t>stoc:[apa=50]</t>
  </si>
  <si>
    <t>stoc:[apa=150]</t>
  </si>
  <si>
    <t>Reteta(1,[{apa,100},{zahar,200}])</t>
  </si>
  <si>
    <t>stoc:[apa=200,zahar=300]</t>
  </si>
  <si>
    <t>Statistics</t>
  </si>
  <si>
    <t>Testare</t>
  </si>
  <si>
    <t>Depanare</t>
  </si>
  <si>
    <t>Re-testare</t>
  </si>
  <si>
    <t>Testare de regresie</t>
  </si>
  <si>
    <t>#TCs run</t>
  </si>
  <si>
    <t>#TCs passed</t>
  </si>
  <si>
    <t>#TCs falied</t>
  </si>
  <si>
    <t>Coverage (%)[se va prelua valoarea indicata in raportul de acoperire pentru metoda testata]</t>
  </si>
  <si>
    <t>#Bugs [se va indica numarul de bug-uri identificate prin depanare, la nivelul metodei testate]</t>
  </si>
  <si>
    <t>#Bugs Fixed [se va completa cu 'da' dupa depanare]</t>
  </si>
  <si>
    <t>Re-testare [se va completa cu 'da' dupa retestare]</t>
  </si>
  <si>
    <t>#TCs  failed</t>
  </si>
  <si>
    <t>Coverage (%) [se va prelua valoarea indicata in raportul de acoperire pentru metoda testata]</t>
  </si>
  <si>
    <t>Testare de regresie [se va completa cu 'da' dupa testarea de regresie]</t>
  </si>
  <si>
    <t>#TCs passed [de executat in testarea de regresie]</t>
  </si>
  <si>
    <t>da</t>
  </si>
  <si>
    <t>Alexandra</t>
  </si>
  <si>
    <t>Roland</t>
  </si>
  <si>
    <t xml:space="preserve">    if (reteta == null) {</t>
  </si>
  <si>
    <t xml:space="preserve"> }</t>
  </si>
  <si>
    <t xml:space="preserve">    if (ingr == null) {                              </t>
  </si>
  <si>
    <t xml:space="preserve">    if (ingr.isEmpty()) {                            </t>
  </si>
  <si>
    <t xml:space="preserve">    for (IngredientReteta e : ingr) {                </t>
  </si>
  <si>
    <t xml:space="preserve">            { continue; }</t>
  </si>
  <si>
    <t xml:space="preserve">        if (necesar &lt;= 0)</t>
  </si>
  <si>
    <t xml:space="preserve">            { return false; } </t>
  </si>
  <si>
    <t xml:space="preserve">        if (disponibil &lt; necesar)</t>
  </si>
  <si>
    <t xml:space="preserve">     }</t>
  </si>
  <si>
    <t>8, 9, 10</t>
  </si>
  <si>
    <t>Nota: Am transformat bucla de FOR in una de WHILE pentru a fi mai usor de urmarit</t>
  </si>
  <si>
    <t>19 - 14 + 2*1 = 7</t>
  </si>
  <si>
    <t>1 -&gt; 2(False) -&gt; 4 -&gt; 5(True) -&gt; 6 -&gt; 14</t>
  </si>
  <si>
    <t>1 -&gt; 2(True) -&gt; 3 -&gt; 14</t>
  </si>
  <si>
    <t>1 -&gt; 2(False) -&gt; 4 -&gt; 5(False) -&gt; 7(True) -&gt; 6 -&gt; 14</t>
  </si>
  <si>
    <t>1 -&gt; 2(False) -&gt; 4 -&gt; 5(False) -&gt; 7(False) -&gt; 8 -&gt; 9(True) -&gt; 10 -&gt; 11(False) -&gt; 12(True) -&gt; 13 -&gt; 14</t>
  </si>
  <si>
    <t>1 -&gt; 2(False) -&gt; 4 -&gt; 5(False) -&gt; 7(False) -&gt; 8 -&gt; 9(True) -&gt; 10 -&gt; 11(True) -&gt; 9(False) -&gt; 6 -&gt; 14</t>
  </si>
  <si>
    <t>1 -&gt; 2(False) -&gt; 4 -&gt; 5(False) -&gt; 7(False) -&gt; 8 -&gt; 9(True) -&gt; 10 -&gt; 11(False) -&gt; 12(False) -&gt; 9(False) -&gt; 6 -&gt; 14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</si>
  <si>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</si>
  <si>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</si>
  <si>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</si>
  <si>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</si>
  <si>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</si>
  <si>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</si>
  <si>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</si>
  <si>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</si>
  <si>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</si>
  <si>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</si>
  <si>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</si>
  <si>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</si>
  <si>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</si>
  <si>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</si>
  <si>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</si>
  <si>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</si>
  <si>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</si>
  <si>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L01,L02,L04,L05,L06</t>
  </si>
  <si>
    <t>L01,L02,L04,L05,L07,L08</t>
  </si>
  <si>
    <t>P6</t>
  </si>
  <si>
    <t>P7</t>
  </si>
  <si>
    <t>L01,L02,L04,L05,L07,L09.. L13,L15,L16</t>
  </si>
  <si>
    <t>L01,L02,L04,L05,L07,L09.. L13,L14, L17</t>
  </si>
  <si>
    <t>L01,L02,L04,L05,L07,L09.. L13,L15,L17</t>
  </si>
  <si>
    <t>1 -&gt; 2(False) -&gt; 4 -&gt; 5(False) -&gt; 7(False) -&gt; 8 -&gt; 9(False) -&gt; 6 -&gt; 14 (Imposibila fara a parcurge bucla o data)</t>
  </si>
  <si>
    <t>L01,L02,L04,L05,L07,L09.. L13,L15,L16,L17</t>
  </si>
  <si>
    <t>Reteta(1,null)</t>
  </si>
  <si>
    <t xml:space="preserve">Reteta(1, [{apa,0.0}] </t>
  </si>
  <si>
    <t>stoc=[]</t>
  </si>
  <si>
    <t>Reteta(1, [{apa,100},{zahar,200}])</t>
  </si>
  <si>
    <t>stoc:[apa=200,zahar=50]</t>
  </si>
  <si>
    <t>stoc:[apa=100]</t>
  </si>
  <si>
    <t>stoc:[apa=0]</t>
  </si>
  <si>
    <t>Reteta(1,[{apa,-5.0}])</t>
  </si>
  <si>
    <t>F02_TC11</t>
  </si>
  <si>
    <t>F02_TC12</t>
  </si>
  <si>
    <t>stocList.size=1</t>
  </si>
  <si>
    <t>F02_TC13</t>
  </si>
  <si>
    <t>F02_TC14</t>
  </si>
  <si>
    <t>stocList=[]</t>
  </si>
  <si>
    <t>F02_TC15</t>
  </si>
  <si>
    <t>throws ISE</t>
  </si>
  <si>
    <t>F02_TC16</t>
  </si>
  <si>
    <t>F02_TC17</t>
  </si>
  <si>
    <t>F02_TC18</t>
  </si>
  <si>
    <t>stoc: [cafea=10.0]</t>
  </si>
  <si>
    <t>lista.size=1, "cafea"</t>
  </si>
  <si>
    <t>stocList[0].cantitate=30.0</t>
  </si>
  <si>
    <t>Reteta(1, [{apa,100.0}])</t>
  </si>
  <si>
    <t>stoc: [apa=20.0]</t>
  </si>
  <si>
    <t>Reteta(1, [{zahar,60.0}])</t>
  </si>
  <si>
    <t>stoc: [zahar=100.0, zahar=50.0]</t>
  </si>
  <si>
    <t>stoc: [zahar=40.0, zahar=50.0]</t>
  </si>
  <si>
    <t>Reteta(1, [{apa,80.0}])</t>
  </si>
  <si>
    <t>stoc: [apa=50.0, apa=50.0]</t>
  </si>
  <si>
    <t>stoc: [apa=0.0, apa=20.0]</t>
  </si>
  <si>
    <t>Reteta(1, [{apa,0.0}])</t>
  </si>
  <si>
    <t>stoc: [apa=100.0]</t>
  </si>
  <si>
    <t>stoc: [lapte=50.0]</t>
  </si>
  <si>
    <t>stoc: [sirop=30.0]</t>
  </si>
  <si>
    <t>stoc: [cacao=10.0]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</si>
</sst>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5" fillId="2" borderId="5" xfId="0" applyFont="1" applyFill="1" applyBorder="1"/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/>
    <xf numFmtId="0" fontId="8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0" fontId="9" fillId="4" borderId="7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/>
    <xf numFmtId="0" fontId="0" fillId="2" borderId="7" xfId="0" applyFill="1" applyBorder="1"/>
    <xf numFmtId="0" fontId="0" fillId="2" borderId="9" xfId="0" applyFill="1" applyBorder="1"/>
    <xf numFmtId="0" fontId="0" fillId="0" borderId="7" xfId="0" applyBorder="1"/>
    <xf numFmtId="0" fontId="0" fillId="2" borderId="10" xfId="0" applyFill="1" applyBorder="1"/>
    <xf numFmtId="0" fontId="0" fillId="2" borderId="11" xfId="0" applyFill="1" applyBorder="1"/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0" fillId="0" borderId="0" xfId="0" applyFont="1"/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9" borderId="7" xfId="0" applyFill="1" applyBorder="1" applyAlignment="1">
      <alignment horizontal="center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/>
    </xf>
    <xf numFmtId="0" fontId="0" fillId="0" borderId="6" xfId="0" applyBorder="1"/>
    <xf numFmtId="0" fontId="2" fillId="11" borderId="10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0" fillId="0" borderId="14" xfId="0" applyBorder="1"/>
    <xf numFmtId="0" fontId="2" fillId="0" borderId="30" xfId="0" applyFont="1" applyBorder="1" applyAlignment="1">
      <alignment horizontal="center" vertical="center"/>
    </xf>
    <xf numFmtId="0" fontId="0" fillId="0" borderId="22" xfId="0" applyBorder="1"/>
    <xf numFmtId="0" fontId="2" fillId="8" borderId="7" xfId="0" applyFont="1" applyFill="1" applyBorder="1" applyAlignment="1">
      <alignment horizontal="center"/>
    </xf>
    <xf numFmtId="0" fontId="0" fillId="0" borderId="12" xfId="0" applyBorder="1"/>
    <xf numFmtId="0" fontId="0" fillId="0" borderId="6" xfId="0" applyBorder="1"/>
    <xf numFmtId="0" fontId="2" fillId="0" borderId="5" xfId="0" applyFont="1" applyBorder="1" applyAlignment="1">
      <alignment horizontal="center" vertical="center" wrapText="1"/>
    </xf>
    <xf numFmtId="0" fontId="0" fillId="0" borderId="25" xfId="0" applyBorder="1"/>
    <xf numFmtId="0" fontId="2" fillId="10" borderId="28" xfId="0" applyFont="1" applyFill="1" applyBorder="1" applyAlignment="1">
      <alignment horizontal="center" vertical="center"/>
    </xf>
    <xf numFmtId="0" fontId="0" fillId="0" borderId="16" xfId="0" applyBorder="1"/>
    <xf numFmtId="0" fontId="2" fillId="0" borderId="8" xfId="0" applyFont="1" applyBorder="1" applyAlignment="1">
      <alignment horizontal="center" vertical="center" wrapText="1"/>
    </xf>
    <xf numFmtId="0" fontId="0" fillId="0" borderId="8" xfId="0" applyBorder="1"/>
    <xf numFmtId="0" fontId="2" fillId="0" borderId="13" xfId="0" applyFont="1" applyBorder="1" applyAlignment="1">
      <alignment horizontal="center" vertical="center" wrapText="1"/>
    </xf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0" fillId="0" borderId="15" xfId="0" applyBorder="1"/>
    <xf numFmtId="0" fontId="2" fillId="8" borderId="16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0" borderId="14" xfId="0" applyFont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0" fillId="0" borderId="21" xfId="0" applyBorder="1"/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0" xfId="0" applyBorder="1"/>
    <xf numFmtId="0" fontId="2" fillId="11" borderId="17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1" fillId="8" borderId="7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8" borderId="10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0" fillId="9" borderId="7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8" fillId="5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1" fillId="8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 vertical="center" wrapText="1"/>
    </xf>
    <xf numFmtId="0" fontId="0" fillId="0" borderId="23" xfId="0" applyBorder="1"/>
    <xf numFmtId="0" fontId="8" fillId="0" borderId="7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9" fontId="0" fillId="7" borderId="7" xfId="0" applyNumberFormat="1" applyFill="1" applyBorder="1"/>
    <xf numFmtId="9" fontId="0" fillId="7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31</xdr:row>
      <xdr:rowOff>1</xdr:rowOff>
    </xdr:from>
    <xdr:to>
      <xdr:col>6</xdr:col>
      <xdr:colOff>204947</xdr:colOff>
      <xdr:row>46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774268"/>
          <a:ext cx="5716746" cy="2971800"/>
        </a:xfrm>
        <a:prstGeom prst="rect">
          <a:avLst/>
        </a:prstGeom>
      </xdr:spPr>
    </xdr:pic>
    <xdr:clientData/>
  </xdr:twoCellAnchor>
  <xdr:twoCellAnchor editAs="oneCell">
    <xdr:from>
      <xdr:col>8</xdr:col>
      <xdr:colOff>423334</xdr:colOff>
      <xdr:row>6</xdr:row>
      <xdr:rowOff>152400</xdr:rowOff>
    </xdr:from>
    <xdr:to>
      <xdr:col>14</xdr:col>
      <xdr:colOff>4686</xdr:colOff>
      <xdr:row>34</xdr:row>
      <xdr:rowOff>128783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3934" y="1270000"/>
          <a:ext cx="3238952" cy="5191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21</xdr:row>
      <xdr:rowOff>12767</xdr:rowOff>
    </xdr:from>
    <xdr:to>
      <xdr:col>4</xdr:col>
      <xdr:colOff>1271367</xdr:colOff>
      <xdr:row>50</xdr:row>
      <xdr:rowOff>175261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5684224"/>
          <a:ext cx="5707296" cy="552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zoomScaleNormal="100" workbookViewId="0">
      <selection activeCell="S8" sqref="S8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1"/>
      <c r="D1" s="47" t="s">
        <v>0</v>
      </c>
      <c r="E1" s="48"/>
      <c r="F1" s="48"/>
      <c r="G1" s="49"/>
    </row>
    <row r="2" spans="2:16" x14ac:dyDescent="0.3">
      <c r="B2" s="31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8" t="s">
        <v>5</v>
      </c>
      <c r="O5" s="28"/>
      <c r="P5" s="28"/>
    </row>
    <row r="6" spans="2:16" x14ac:dyDescent="0.3">
      <c r="B6" s="1" t="s">
        <v>6</v>
      </c>
      <c r="N6" s="24"/>
      <c r="O6" s="24" t="s">
        <v>7</v>
      </c>
      <c r="P6" s="24" t="s">
        <v>8</v>
      </c>
    </row>
    <row r="7" spans="2:16" x14ac:dyDescent="0.3">
      <c r="B7" s="1"/>
      <c r="C7" s="1"/>
      <c r="D7" s="1"/>
      <c r="E7" s="1"/>
      <c r="N7" s="24" t="s">
        <v>9</v>
      </c>
      <c r="O7" s="24" t="s">
        <v>10</v>
      </c>
      <c r="P7" s="24">
        <v>234</v>
      </c>
    </row>
    <row r="8" spans="2:16" x14ac:dyDescent="0.3">
      <c r="B8" s="1"/>
      <c r="C8" s="1"/>
      <c r="D8" s="1"/>
      <c r="E8" s="1"/>
      <c r="N8" s="24" t="s">
        <v>11</v>
      </c>
      <c r="O8" s="24" t="s">
        <v>128</v>
      </c>
      <c r="P8" s="24">
        <v>234</v>
      </c>
    </row>
    <row r="9" spans="2:16" x14ac:dyDescent="0.3">
      <c r="B9" t="s">
        <v>12</v>
      </c>
      <c r="C9" s="1"/>
      <c r="D9" s="1"/>
      <c r="E9" s="1"/>
      <c r="N9" s="24" t="s">
        <v>13</v>
      </c>
      <c r="O9" s="24" t="s">
        <v>129</v>
      </c>
      <c r="P9" s="24">
        <v>234</v>
      </c>
    </row>
    <row r="10" spans="2:16" x14ac:dyDescent="0.3">
      <c r="B10" t="s">
        <v>14</v>
      </c>
      <c r="C10" s="1"/>
      <c r="D10" s="1"/>
      <c r="E10" s="1"/>
    </row>
    <row r="11" spans="2:16" x14ac:dyDescent="0.3">
      <c r="B11" s="30" t="s">
        <v>15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31"/>
  <sheetViews>
    <sheetView topLeftCell="A19" zoomScale="85" zoomScaleNormal="85" workbookViewId="0">
      <selection activeCell="S24" sqref="S24"/>
    </sheetView>
  </sheetViews>
  <sheetFormatPr defaultColWidth="8.88671875" defaultRowHeight="14.4" x14ac:dyDescent="0.3"/>
  <cols>
    <col min="2" max="2" width="10" customWidth="1"/>
    <col min="5" max="5" width="43.6640625" customWidth="1"/>
    <col min="17" max="17" width="8.6640625" bestFit="1" customWidth="1"/>
    <col min="18" max="18" width="19.5546875" customWidth="1"/>
    <col min="19" max="19" width="28.109375" customWidth="1"/>
    <col min="20" max="20" width="66.77734375" customWidth="1"/>
  </cols>
  <sheetData>
    <row r="1" spans="2:20" x14ac:dyDescent="0.3">
      <c r="B1" s="11"/>
      <c r="D1" s="47" t="s">
        <v>0</v>
      </c>
      <c r="E1" s="48"/>
      <c r="F1" s="48"/>
      <c r="G1" s="48"/>
      <c r="H1" s="48"/>
      <c r="I1" s="49"/>
    </row>
    <row r="3" spans="2:20" x14ac:dyDescent="0.3">
      <c r="B3" s="80" t="s">
        <v>16</v>
      </c>
      <c r="C3" s="81"/>
      <c r="D3" s="81"/>
      <c r="E3" s="81"/>
      <c r="F3" s="81"/>
      <c r="G3" s="81"/>
      <c r="H3" s="81"/>
      <c r="I3" s="81"/>
      <c r="J3" s="81"/>
      <c r="K3" s="82"/>
    </row>
    <row r="6" spans="2:20" x14ac:dyDescent="0.3">
      <c r="B6" s="47" t="s">
        <v>17</v>
      </c>
      <c r="C6" s="48"/>
      <c r="D6" s="48"/>
      <c r="E6" s="49"/>
      <c r="I6" s="86" t="s">
        <v>18</v>
      </c>
      <c r="J6" s="48"/>
      <c r="K6" s="48"/>
      <c r="L6" s="48"/>
      <c r="M6" s="48"/>
      <c r="N6" s="48"/>
      <c r="O6" s="48"/>
      <c r="Q6" s="86" t="s">
        <v>19</v>
      </c>
      <c r="R6" s="48"/>
      <c r="S6" s="48"/>
      <c r="T6" s="48"/>
    </row>
    <row r="8" spans="2:20" x14ac:dyDescent="0.3">
      <c r="B8" s="35">
        <v>1</v>
      </c>
      <c r="C8" s="91" t="s">
        <v>20</v>
      </c>
      <c r="D8" s="83"/>
      <c r="E8" s="84"/>
      <c r="I8" s="11"/>
      <c r="Q8" s="85" t="s">
        <v>21</v>
      </c>
      <c r="R8" s="48"/>
      <c r="S8" s="49"/>
      <c r="T8" s="27">
        <v>7</v>
      </c>
    </row>
    <row r="9" spans="2:20" x14ac:dyDescent="0.3">
      <c r="B9" s="28">
        <v>2</v>
      </c>
      <c r="C9" s="79" t="s">
        <v>130</v>
      </c>
      <c r="D9" s="83"/>
      <c r="E9" s="84"/>
      <c r="Q9" s="85" t="s">
        <v>22</v>
      </c>
      <c r="R9" s="48"/>
      <c r="S9" s="49"/>
      <c r="T9" s="27" t="s">
        <v>142</v>
      </c>
    </row>
    <row r="10" spans="2:20" x14ac:dyDescent="0.3">
      <c r="B10" s="28">
        <v>3</v>
      </c>
      <c r="C10" s="87" t="s">
        <v>23</v>
      </c>
      <c r="D10" s="48"/>
      <c r="E10" s="49"/>
      <c r="F10" s="29"/>
      <c r="G10" s="29"/>
      <c r="Q10" s="85" t="s">
        <v>24</v>
      </c>
      <c r="R10" s="48"/>
      <c r="S10" s="49"/>
      <c r="T10" s="27" t="s">
        <v>25</v>
      </c>
    </row>
    <row r="11" spans="2:20" x14ac:dyDescent="0.3">
      <c r="B11" s="28"/>
      <c r="C11" s="79" t="s">
        <v>131</v>
      </c>
      <c r="D11" s="83"/>
      <c r="E11" s="84"/>
      <c r="F11" s="29"/>
      <c r="G11" s="29"/>
    </row>
    <row r="12" spans="2:20" x14ac:dyDescent="0.3">
      <c r="B12" s="28">
        <v>4</v>
      </c>
      <c r="C12" s="79" t="s">
        <v>27</v>
      </c>
      <c r="D12" s="83"/>
      <c r="E12" s="84"/>
      <c r="F12" s="29"/>
      <c r="G12" s="29"/>
    </row>
    <row r="13" spans="2:20" x14ac:dyDescent="0.3">
      <c r="B13" s="28">
        <v>5</v>
      </c>
      <c r="C13" s="79" t="s">
        <v>132</v>
      </c>
      <c r="D13" s="83"/>
      <c r="E13" s="84"/>
      <c r="F13" s="29"/>
      <c r="G13" s="29"/>
      <c r="Q13" s="86" t="s">
        <v>28</v>
      </c>
      <c r="R13" s="48"/>
      <c r="S13" s="48"/>
      <c r="T13" s="48"/>
    </row>
    <row r="14" spans="2:20" x14ac:dyDescent="0.3">
      <c r="B14" s="28">
        <v>6</v>
      </c>
      <c r="C14" s="79" t="s">
        <v>29</v>
      </c>
      <c r="D14" s="83"/>
      <c r="E14" s="84"/>
      <c r="F14" s="29"/>
      <c r="G14" s="29"/>
    </row>
    <row r="15" spans="2:20" x14ac:dyDescent="0.3">
      <c r="B15" s="28"/>
      <c r="C15" s="79" t="s">
        <v>26</v>
      </c>
      <c r="D15" s="83"/>
      <c r="E15" s="84"/>
      <c r="Q15" s="28" t="s">
        <v>30</v>
      </c>
      <c r="R15" s="79" t="s">
        <v>144</v>
      </c>
      <c r="S15" s="48"/>
      <c r="T15" s="49"/>
    </row>
    <row r="16" spans="2:20" x14ac:dyDescent="0.3">
      <c r="B16" s="28">
        <v>7</v>
      </c>
      <c r="C16" s="79" t="s">
        <v>133</v>
      </c>
      <c r="D16" s="83"/>
      <c r="E16" s="84"/>
      <c r="Q16" s="28" t="s">
        <v>31</v>
      </c>
      <c r="R16" s="79" t="s">
        <v>143</v>
      </c>
      <c r="S16" s="48"/>
      <c r="T16" s="49"/>
    </row>
    <row r="17" spans="2:20" x14ac:dyDescent="0.3">
      <c r="B17" s="28">
        <v>6</v>
      </c>
      <c r="C17" s="79" t="s">
        <v>29</v>
      </c>
      <c r="D17" s="83"/>
      <c r="E17" s="84"/>
      <c r="Q17" s="28" t="s">
        <v>32</v>
      </c>
      <c r="R17" s="79" t="s">
        <v>145</v>
      </c>
      <c r="S17" s="48"/>
      <c r="T17" s="49"/>
    </row>
    <row r="18" spans="2:20" x14ac:dyDescent="0.3">
      <c r="B18" s="28"/>
      <c r="C18" s="79" t="s">
        <v>26</v>
      </c>
      <c r="D18" s="83"/>
      <c r="E18" s="84"/>
      <c r="Q18" s="38" t="s">
        <v>33</v>
      </c>
      <c r="R18" s="88" t="s">
        <v>173</v>
      </c>
      <c r="S18" s="89"/>
      <c r="T18" s="90"/>
    </row>
    <row r="19" spans="2:20" x14ac:dyDescent="0.3">
      <c r="B19" s="28" t="s">
        <v>140</v>
      </c>
      <c r="C19" s="79" t="s">
        <v>134</v>
      </c>
      <c r="D19" s="83"/>
      <c r="E19" s="84"/>
      <c r="Q19" s="28" t="s">
        <v>34</v>
      </c>
      <c r="R19" s="79" t="s">
        <v>146</v>
      </c>
      <c r="S19" s="48"/>
      <c r="T19" s="49"/>
    </row>
    <row r="20" spans="2:20" x14ac:dyDescent="0.3">
      <c r="B20" s="28">
        <v>10</v>
      </c>
      <c r="C20" s="79" t="s">
        <v>35</v>
      </c>
      <c r="D20" s="83"/>
      <c r="E20" s="84"/>
      <c r="Q20" s="28" t="s">
        <v>36</v>
      </c>
      <c r="R20" s="79" t="s">
        <v>147</v>
      </c>
      <c r="S20" s="48"/>
      <c r="T20" s="49"/>
    </row>
    <row r="21" spans="2:20" x14ac:dyDescent="0.3">
      <c r="B21" s="28"/>
      <c r="C21" s="79" t="s">
        <v>37</v>
      </c>
      <c r="D21" s="83"/>
      <c r="E21" s="84"/>
      <c r="Q21" s="28" t="s">
        <v>38</v>
      </c>
      <c r="R21" s="79" t="s">
        <v>148</v>
      </c>
      <c r="S21" s="48"/>
      <c r="T21" s="49"/>
    </row>
    <row r="22" spans="2:20" x14ac:dyDescent="0.3">
      <c r="B22" s="28"/>
      <c r="C22" s="79" t="s">
        <v>39</v>
      </c>
      <c r="D22" s="83"/>
      <c r="E22" s="84"/>
    </row>
    <row r="23" spans="2:20" x14ac:dyDescent="0.3">
      <c r="B23" s="28">
        <v>11</v>
      </c>
      <c r="C23" s="79" t="s">
        <v>136</v>
      </c>
      <c r="D23" s="83"/>
      <c r="E23" s="84"/>
    </row>
    <row r="24" spans="2:20" x14ac:dyDescent="0.3">
      <c r="B24" s="28"/>
      <c r="C24" s="92" t="s">
        <v>135</v>
      </c>
      <c r="D24" s="83"/>
      <c r="E24" s="84"/>
    </row>
    <row r="25" spans="2:20" x14ac:dyDescent="0.3">
      <c r="B25" s="28">
        <v>12</v>
      </c>
      <c r="C25" s="79" t="s">
        <v>138</v>
      </c>
      <c r="D25" s="83"/>
      <c r="E25" s="84"/>
    </row>
    <row r="26" spans="2:20" x14ac:dyDescent="0.3">
      <c r="B26" s="28">
        <v>13</v>
      </c>
      <c r="C26" s="79" t="s">
        <v>137</v>
      </c>
      <c r="D26" s="83"/>
      <c r="E26" s="84"/>
    </row>
    <row r="27" spans="2:20" x14ac:dyDescent="0.3">
      <c r="B27" s="28"/>
      <c r="C27" s="32" t="s">
        <v>139</v>
      </c>
      <c r="D27" s="33"/>
      <c r="E27" s="34"/>
    </row>
    <row r="28" spans="2:20" x14ac:dyDescent="0.3">
      <c r="B28" s="28">
        <v>6</v>
      </c>
      <c r="C28" s="79" t="s">
        <v>40</v>
      </c>
      <c r="D28" s="83"/>
      <c r="E28" s="84"/>
    </row>
    <row r="29" spans="2:20" x14ac:dyDescent="0.3">
      <c r="B29" s="28">
        <v>14</v>
      </c>
      <c r="C29" s="79" t="s">
        <v>41</v>
      </c>
      <c r="D29" s="83"/>
      <c r="E29" s="84"/>
    </row>
    <row r="31" spans="2:20" x14ac:dyDescent="0.3">
      <c r="B31" t="s">
        <v>141</v>
      </c>
    </row>
  </sheetData>
  <mergeCells count="37">
    <mergeCell ref="C26:E26"/>
    <mergeCell ref="C28:E28"/>
    <mergeCell ref="C29:E29"/>
    <mergeCell ref="C24:E24"/>
    <mergeCell ref="C21:E21"/>
    <mergeCell ref="C22:E22"/>
    <mergeCell ref="C23:E23"/>
    <mergeCell ref="C25:E25"/>
    <mergeCell ref="R21:T21"/>
    <mergeCell ref="D1:I1"/>
    <mergeCell ref="C14:E14"/>
    <mergeCell ref="Q8:S8"/>
    <mergeCell ref="Q6:T6"/>
    <mergeCell ref="R15:T15"/>
    <mergeCell ref="C10:E10"/>
    <mergeCell ref="Q10:S10"/>
    <mergeCell ref="B6:E6"/>
    <mergeCell ref="C9:E9"/>
    <mergeCell ref="C12:E12"/>
    <mergeCell ref="C11:E11"/>
    <mergeCell ref="Q13:T13"/>
    <mergeCell ref="Q9:S9"/>
    <mergeCell ref="I6:O6"/>
    <mergeCell ref="C15:E15"/>
    <mergeCell ref="C8:E8"/>
    <mergeCell ref="R20:T20"/>
    <mergeCell ref="R19:T19"/>
    <mergeCell ref="B3:K3"/>
    <mergeCell ref="C13:E13"/>
    <mergeCell ref="R17:T17"/>
    <mergeCell ref="C19:E19"/>
    <mergeCell ref="R16:T16"/>
    <mergeCell ref="R18:T18"/>
    <mergeCell ref="C16:E16"/>
    <mergeCell ref="C17:E17"/>
    <mergeCell ref="C18:E18"/>
    <mergeCell ref="C20:E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AC50"/>
  <sheetViews>
    <sheetView zoomScale="55" zoomScaleNormal="55" workbookViewId="0">
      <selection activeCell="B22" sqref="B22"/>
    </sheetView>
  </sheetViews>
  <sheetFormatPr defaultColWidth="8.88671875" defaultRowHeight="14.4" x14ac:dyDescent="0.3"/>
  <cols>
    <col min="2" max="2" width="12.33203125" customWidth="1"/>
    <col min="3" max="3" width="39" customWidth="1"/>
    <col min="4" max="4" width="13.77734375" customWidth="1"/>
    <col min="5" max="5" width="26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5" customWidth="1"/>
    <col min="15" max="15" width="11.88671875" customWidth="1"/>
    <col min="16" max="17" width="8.88671875" customWidth="1"/>
    <col min="22" max="22" width="9.109375" customWidth="1"/>
    <col min="23" max="25" width="2.109375" bestFit="1" customWidth="1"/>
    <col min="26" max="26" width="4.88671875" customWidth="1"/>
    <col min="27" max="27" width="2.109375" bestFit="1" customWidth="1"/>
    <col min="28" max="28" width="5.44140625" customWidth="1"/>
    <col min="29" max="29" width="5.109375" bestFit="1" customWidth="1"/>
  </cols>
  <sheetData>
    <row r="1" spans="2:29" x14ac:dyDescent="0.3">
      <c r="B1" s="11"/>
      <c r="D1" s="47" t="s">
        <v>0</v>
      </c>
      <c r="E1" s="48"/>
      <c r="F1" s="48"/>
      <c r="G1" s="49"/>
    </row>
    <row r="3" spans="2:29" x14ac:dyDescent="0.3">
      <c r="B3" s="96" t="s">
        <v>42</v>
      </c>
      <c r="C3" s="48"/>
      <c r="D3" s="48"/>
      <c r="E3" s="48"/>
      <c r="F3" s="49"/>
    </row>
    <row r="5" spans="2:29" x14ac:dyDescent="0.3">
      <c r="B5" s="10"/>
    </row>
    <row r="6" spans="2:29" ht="15.6" customHeight="1" x14ac:dyDescent="0.3">
      <c r="B6" s="99" t="s">
        <v>43</v>
      </c>
      <c r="C6" s="99" t="s">
        <v>44</v>
      </c>
      <c r="D6" s="99" t="s">
        <v>45</v>
      </c>
      <c r="E6" s="99" t="s">
        <v>46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9"/>
    </row>
    <row r="7" spans="2:29" ht="15.6" customHeight="1" x14ac:dyDescent="0.3">
      <c r="B7" s="98"/>
      <c r="C7" s="55"/>
      <c r="D7" s="55"/>
      <c r="E7" s="97" t="s">
        <v>47</v>
      </c>
      <c r="F7" s="94" t="s">
        <v>48</v>
      </c>
      <c r="G7" s="48"/>
      <c r="H7" s="48"/>
      <c r="I7" s="48"/>
      <c r="J7" s="48"/>
      <c r="K7" s="48"/>
      <c r="L7" s="48"/>
      <c r="M7" s="48"/>
      <c r="N7" s="48"/>
      <c r="O7" s="49"/>
      <c r="P7" s="93" t="s">
        <v>49</v>
      </c>
      <c r="Q7" s="48"/>
      <c r="R7" s="48"/>
      <c r="S7" s="48"/>
      <c r="T7" s="48"/>
      <c r="U7" s="48"/>
      <c r="V7" s="49"/>
      <c r="W7" s="103" t="s">
        <v>50</v>
      </c>
      <c r="X7" s="104"/>
      <c r="Y7" s="104"/>
      <c r="Z7" s="104"/>
      <c r="AA7" s="104"/>
      <c r="AB7" s="104"/>
      <c r="AC7" s="39"/>
    </row>
    <row r="8" spans="2:29" ht="15.6" customHeight="1" x14ac:dyDescent="0.3">
      <c r="B8" s="98"/>
      <c r="C8" s="95" t="s">
        <v>51</v>
      </c>
      <c r="D8" s="95" t="s">
        <v>51</v>
      </c>
      <c r="E8" s="98"/>
      <c r="F8" s="94" t="s">
        <v>52</v>
      </c>
      <c r="G8" s="49"/>
      <c r="H8" s="94" t="s">
        <v>53</v>
      </c>
      <c r="I8" s="49"/>
      <c r="J8" s="94" t="s">
        <v>54</v>
      </c>
      <c r="K8" s="49"/>
      <c r="L8" s="94" t="s">
        <v>55</v>
      </c>
      <c r="M8" s="49"/>
      <c r="N8" s="94" t="s">
        <v>56</v>
      </c>
      <c r="O8" s="49"/>
      <c r="P8" s="93" t="s">
        <v>57</v>
      </c>
      <c r="Q8" s="93" t="s">
        <v>58</v>
      </c>
      <c r="R8" s="93" t="s">
        <v>59</v>
      </c>
      <c r="S8" s="93" t="s">
        <v>60</v>
      </c>
      <c r="T8" s="101" t="s">
        <v>168</v>
      </c>
      <c r="U8" s="93" t="s">
        <v>169</v>
      </c>
      <c r="V8" s="100">
        <v>0</v>
      </c>
      <c r="W8" s="100">
        <v>1</v>
      </c>
      <c r="X8" s="100">
        <v>2</v>
      </c>
      <c r="Y8" s="100" t="s">
        <v>61</v>
      </c>
      <c r="Z8" s="100" t="s">
        <v>62</v>
      </c>
      <c r="AA8" s="100" t="s">
        <v>63</v>
      </c>
      <c r="AB8" s="100" t="s">
        <v>64</v>
      </c>
    </row>
    <row r="9" spans="2:29" ht="15.6" customHeight="1" x14ac:dyDescent="0.3">
      <c r="B9" s="55"/>
      <c r="C9" s="55"/>
      <c r="D9" s="55"/>
      <c r="E9" s="55"/>
      <c r="F9" s="12" t="s">
        <v>65</v>
      </c>
      <c r="G9" s="12" t="s">
        <v>66</v>
      </c>
      <c r="H9" s="12" t="s">
        <v>65</v>
      </c>
      <c r="I9" s="12" t="s">
        <v>66</v>
      </c>
      <c r="J9" s="12" t="s">
        <v>65</v>
      </c>
      <c r="K9" s="12" t="s">
        <v>66</v>
      </c>
      <c r="L9" s="12" t="s">
        <v>65</v>
      </c>
      <c r="M9" s="12" t="s">
        <v>66</v>
      </c>
      <c r="N9" s="12" t="s">
        <v>65</v>
      </c>
      <c r="O9" s="12" t="s">
        <v>66</v>
      </c>
      <c r="P9" s="55"/>
      <c r="Q9" s="55"/>
      <c r="R9" s="55"/>
      <c r="S9" s="55"/>
      <c r="T9" s="102"/>
      <c r="U9" s="55"/>
      <c r="V9" s="55"/>
      <c r="W9" s="55"/>
      <c r="X9" s="55"/>
      <c r="Y9" s="55"/>
      <c r="Z9" s="55"/>
      <c r="AA9" s="55"/>
      <c r="AB9" s="55"/>
    </row>
    <row r="10" spans="2:29" ht="15.6" customHeight="1" x14ac:dyDescent="0.3">
      <c r="B10" s="13" t="s">
        <v>67</v>
      </c>
      <c r="C10" s="13" t="s">
        <v>68</v>
      </c>
      <c r="D10" s="14" t="s">
        <v>69</v>
      </c>
      <c r="E10" s="15" t="s">
        <v>70</v>
      </c>
      <c r="F10" s="16" t="s">
        <v>71</v>
      </c>
      <c r="G10" s="16" t="s">
        <v>72</v>
      </c>
      <c r="H10" s="16" t="s">
        <v>72</v>
      </c>
      <c r="I10" s="16" t="s">
        <v>72</v>
      </c>
      <c r="J10" s="16" t="s">
        <v>72</v>
      </c>
      <c r="K10" s="16" t="s">
        <v>72</v>
      </c>
      <c r="L10" s="16" t="s">
        <v>72</v>
      </c>
      <c r="M10" s="16" t="s">
        <v>72</v>
      </c>
      <c r="N10" s="16" t="s">
        <v>72</v>
      </c>
      <c r="O10" s="16" t="s">
        <v>72</v>
      </c>
      <c r="P10" s="17" t="s">
        <v>71</v>
      </c>
      <c r="Q10" s="17" t="s">
        <v>72</v>
      </c>
      <c r="R10" s="17" t="s">
        <v>72</v>
      </c>
      <c r="S10" s="17" t="s">
        <v>72</v>
      </c>
      <c r="T10" s="17" t="s">
        <v>72</v>
      </c>
      <c r="U10" s="17" t="s">
        <v>72</v>
      </c>
      <c r="V10" s="18" t="s">
        <v>71</v>
      </c>
      <c r="W10" s="18" t="s">
        <v>72</v>
      </c>
      <c r="X10" s="18" t="s">
        <v>72</v>
      </c>
      <c r="Y10" s="18" t="s">
        <v>72</v>
      </c>
      <c r="Z10" s="18" t="s">
        <v>72</v>
      </c>
      <c r="AA10" s="18" t="s">
        <v>72</v>
      </c>
      <c r="AB10" s="18" t="s">
        <v>72</v>
      </c>
    </row>
    <row r="11" spans="2:29" ht="15.6" customHeight="1" x14ac:dyDescent="0.3">
      <c r="B11" s="13" t="s">
        <v>73</v>
      </c>
      <c r="C11" s="13" t="s">
        <v>74</v>
      </c>
      <c r="D11" s="14" t="s">
        <v>75</v>
      </c>
      <c r="E11" s="15" t="s">
        <v>166</v>
      </c>
      <c r="F11" s="16" t="s">
        <v>72</v>
      </c>
      <c r="G11" s="16" t="s">
        <v>71</v>
      </c>
      <c r="H11" s="16" t="s">
        <v>71</v>
      </c>
      <c r="I11" s="16" t="s">
        <v>72</v>
      </c>
      <c r="J11" s="16" t="s">
        <v>72</v>
      </c>
      <c r="K11" s="16" t="s">
        <v>72</v>
      </c>
      <c r="L11" s="16" t="s">
        <v>72</v>
      </c>
      <c r="M11" s="16" t="s">
        <v>72</v>
      </c>
      <c r="N11" s="16" t="s">
        <v>72</v>
      </c>
      <c r="O11" s="16" t="s">
        <v>72</v>
      </c>
      <c r="P11" s="17" t="s">
        <v>72</v>
      </c>
      <c r="Q11" s="17" t="s">
        <v>71</v>
      </c>
      <c r="R11" s="17" t="s">
        <v>72</v>
      </c>
      <c r="S11" s="17" t="s">
        <v>72</v>
      </c>
      <c r="T11" s="17" t="s">
        <v>72</v>
      </c>
      <c r="U11" s="17" t="s">
        <v>72</v>
      </c>
      <c r="V11" s="18" t="s">
        <v>71</v>
      </c>
      <c r="W11" s="18" t="s">
        <v>72</v>
      </c>
      <c r="X11" s="18" t="s">
        <v>72</v>
      </c>
      <c r="Y11" s="18" t="s">
        <v>72</v>
      </c>
      <c r="Z11" s="18" t="s">
        <v>72</v>
      </c>
      <c r="AA11" s="18" t="s">
        <v>72</v>
      </c>
      <c r="AB11" s="18" t="s">
        <v>72</v>
      </c>
    </row>
    <row r="12" spans="2:29" ht="15.6" customHeight="1" x14ac:dyDescent="0.3">
      <c r="B12" s="13" t="s">
        <v>76</v>
      </c>
      <c r="C12" s="36" t="s">
        <v>77</v>
      </c>
      <c r="D12" s="37" t="s">
        <v>75</v>
      </c>
      <c r="E12" s="15" t="s">
        <v>167</v>
      </c>
      <c r="F12" s="16" t="s">
        <v>72</v>
      </c>
      <c r="G12" s="16" t="s">
        <v>71</v>
      </c>
      <c r="H12" s="16" t="s">
        <v>72</v>
      </c>
      <c r="I12" s="16" t="s">
        <v>71</v>
      </c>
      <c r="J12" s="16" t="s">
        <v>71</v>
      </c>
      <c r="K12" s="16" t="s">
        <v>72</v>
      </c>
      <c r="L12" s="16" t="s">
        <v>72</v>
      </c>
      <c r="M12" s="16" t="s">
        <v>72</v>
      </c>
      <c r="N12" s="16" t="s">
        <v>72</v>
      </c>
      <c r="O12" s="16" t="s">
        <v>72</v>
      </c>
      <c r="P12" s="17" t="s">
        <v>72</v>
      </c>
      <c r="Q12" s="17" t="s">
        <v>72</v>
      </c>
      <c r="R12" s="17" t="s">
        <v>71</v>
      </c>
      <c r="S12" s="17" t="s">
        <v>72</v>
      </c>
      <c r="T12" s="17" t="s">
        <v>72</v>
      </c>
      <c r="U12" s="17" t="s">
        <v>72</v>
      </c>
      <c r="V12" s="18" t="s">
        <v>71</v>
      </c>
      <c r="W12" s="18" t="s">
        <v>72</v>
      </c>
      <c r="X12" s="18" t="s">
        <v>72</v>
      </c>
      <c r="Y12" s="18" t="s">
        <v>72</v>
      </c>
      <c r="Z12" s="18" t="s">
        <v>72</v>
      </c>
      <c r="AA12" s="18" t="s">
        <v>72</v>
      </c>
      <c r="AB12" s="18" t="s">
        <v>72</v>
      </c>
    </row>
    <row r="13" spans="2:29" ht="36" customHeight="1" x14ac:dyDescent="0.3">
      <c r="B13" s="13" t="s">
        <v>78</v>
      </c>
      <c r="C13" s="13" t="s">
        <v>79</v>
      </c>
      <c r="D13" s="14" t="s">
        <v>75</v>
      </c>
      <c r="E13" s="15" t="s">
        <v>171</v>
      </c>
      <c r="F13" s="16" t="s">
        <v>72</v>
      </c>
      <c r="G13" s="16" t="s">
        <v>71</v>
      </c>
      <c r="H13" s="16" t="s">
        <v>72</v>
      </c>
      <c r="I13" s="16" t="s">
        <v>71</v>
      </c>
      <c r="J13" s="16" t="s">
        <v>72</v>
      </c>
      <c r="K13" s="16" t="s">
        <v>71</v>
      </c>
      <c r="L13" s="16" t="s">
        <v>71</v>
      </c>
      <c r="M13" s="16" t="s">
        <v>72</v>
      </c>
      <c r="N13" s="16" t="s">
        <v>72</v>
      </c>
      <c r="O13" s="16" t="s">
        <v>72</v>
      </c>
      <c r="P13" s="17" t="s">
        <v>72</v>
      </c>
      <c r="Q13" s="17" t="s">
        <v>72</v>
      </c>
      <c r="R13" s="17" t="s">
        <v>72</v>
      </c>
      <c r="S13" s="17" t="s">
        <v>72</v>
      </c>
      <c r="T13" s="17" t="s">
        <v>71</v>
      </c>
      <c r="U13" s="17" t="s">
        <v>72</v>
      </c>
      <c r="V13" s="18" t="s">
        <v>72</v>
      </c>
      <c r="W13" s="18" t="s">
        <v>71</v>
      </c>
      <c r="X13" s="18" t="s">
        <v>72</v>
      </c>
      <c r="Y13" s="18" t="s">
        <v>72</v>
      </c>
      <c r="Z13" s="18" t="s">
        <v>72</v>
      </c>
      <c r="AA13" s="18" t="s">
        <v>72</v>
      </c>
      <c r="AB13" s="18" t="s">
        <v>72</v>
      </c>
    </row>
    <row r="14" spans="2:29" ht="36" customHeight="1" x14ac:dyDescent="0.3">
      <c r="B14" s="13" t="s">
        <v>80</v>
      </c>
      <c r="C14" s="13" t="s">
        <v>81</v>
      </c>
      <c r="D14" s="14" t="s">
        <v>82</v>
      </c>
      <c r="E14" s="15" t="s">
        <v>170</v>
      </c>
      <c r="F14" s="16" t="s">
        <v>72</v>
      </c>
      <c r="G14" s="16" t="s">
        <v>71</v>
      </c>
      <c r="H14" s="16" t="s">
        <v>72</v>
      </c>
      <c r="I14" s="16" t="s">
        <v>71</v>
      </c>
      <c r="J14" s="16" t="s">
        <v>72</v>
      </c>
      <c r="K14" s="16" t="s">
        <v>71</v>
      </c>
      <c r="L14" s="16" t="s">
        <v>72</v>
      </c>
      <c r="M14" s="16" t="s">
        <v>71</v>
      </c>
      <c r="N14" s="16" t="s">
        <v>71</v>
      </c>
      <c r="O14" s="16" t="s">
        <v>72</v>
      </c>
      <c r="P14" s="17" t="s">
        <v>72</v>
      </c>
      <c r="Q14" s="17" t="s">
        <v>72</v>
      </c>
      <c r="R14" s="17" t="s">
        <v>72</v>
      </c>
      <c r="S14" s="17" t="s">
        <v>71</v>
      </c>
      <c r="T14" s="17" t="s">
        <v>72</v>
      </c>
      <c r="U14" s="17" t="s">
        <v>72</v>
      </c>
      <c r="V14" s="18" t="s">
        <v>72</v>
      </c>
      <c r="W14" s="18" t="s">
        <v>71</v>
      </c>
      <c r="X14" s="18" t="s">
        <v>72</v>
      </c>
      <c r="Y14" s="18" t="s">
        <v>72</v>
      </c>
      <c r="Z14" s="18" t="s">
        <v>72</v>
      </c>
      <c r="AA14" s="18" t="s">
        <v>72</v>
      </c>
      <c r="AB14" s="18" t="s">
        <v>72</v>
      </c>
    </row>
    <row r="15" spans="2:29" ht="34.799999999999997" customHeight="1" x14ac:dyDescent="0.3">
      <c r="B15" s="13" t="s">
        <v>83</v>
      </c>
      <c r="C15" s="13" t="s">
        <v>84</v>
      </c>
      <c r="D15" s="14" t="s">
        <v>75</v>
      </c>
      <c r="E15" s="15" t="s">
        <v>172</v>
      </c>
      <c r="F15" s="16" t="s">
        <v>72</v>
      </c>
      <c r="G15" s="16" t="s">
        <v>71</v>
      </c>
      <c r="H15" s="16" t="s">
        <v>72</v>
      </c>
      <c r="I15" s="16" t="s">
        <v>71</v>
      </c>
      <c r="J15" s="16" t="s">
        <v>72</v>
      </c>
      <c r="K15" s="16" t="s">
        <v>71</v>
      </c>
      <c r="L15" s="16" t="s">
        <v>72</v>
      </c>
      <c r="M15" s="16" t="s">
        <v>71</v>
      </c>
      <c r="N15" s="16" t="s">
        <v>72</v>
      </c>
      <c r="O15" s="16" t="s">
        <v>71</v>
      </c>
      <c r="P15" s="17" t="s">
        <v>72</v>
      </c>
      <c r="Q15" s="17" t="s">
        <v>72</v>
      </c>
      <c r="R15" s="17" t="s">
        <v>72</v>
      </c>
      <c r="S15" s="17" t="s">
        <v>72</v>
      </c>
      <c r="T15" s="17" t="s">
        <v>72</v>
      </c>
      <c r="U15" s="17" t="s">
        <v>71</v>
      </c>
      <c r="V15" s="18" t="s">
        <v>72</v>
      </c>
      <c r="W15" s="18" t="s">
        <v>71</v>
      </c>
      <c r="X15" s="18" t="s">
        <v>72</v>
      </c>
      <c r="Y15" s="18" t="s">
        <v>72</v>
      </c>
      <c r="Z15" s="18" t="s">
        <v>72</v>
      </c>
      <c r="AA15" s="18" t="s">
        <v>72</v>
      </c>
      <c r="AB15" s="18" t="s">
        <v>72</v>
      </c>
    </row>
    <row r="16" spans="2:29" ht="37.200000000000003" customHeight="1" x14ac:dyDescent="0.3">
      <c r="B16" s="13" t="s">
        <v>85</v>
      </c>
      <c r="C16" s="13" t="s">
        <v>86</v>
      </c>
      <c r="D16" s="14" t="s">
        <v>75</v>
      </c>
      <c r="E16" s="15" t="s">
        <v>172</v>
      </c>
      <c r="F16" s="16" t="s">
        <v>72</v>
      </c>
      <c r="G16" s="16" t="s">
        <v>71</v>
      </c>
      <c r="H16" s="16" t="s">
        <v>72</v>
      </c>
      <c r="I16" s="16" t="s">
        <v>71</v>
      </c>
      <c r="J16" s="16" t="s">
        <v>72</v>
      </c>
      <c r="K16" s="16" t="s">
        <v>71</v>
      </c>
      <c r="L16" s="16" t="s">
        <v>72</v>
      </c>
      <c r="M16" s="16" t="s">
        <v>71</v>
      </c>
      <c r="N16" s="16" t="s">
        <v>72</v>
      </c>
      <c r="O16" s="16" t="s">
        <v>71</v>
      </c>
      <c r="P16" s="17" t="s">
        <v>72</v>
      </c>
      <c r="Q16" s="17" t="s">
        <v>72</v>
      </c>
      <c r="R16" s="17" t="s">
        <v>72</v>
      </c>
      <c r="S16" s="17" t="s">
        <v>72</v>
      </c>
      <c r="T16" s="17" t="s">
        <v>72</v>
      </c>
      <c r="U16" s="17" t="s">
        <v>71</v>
      </c>
      <c r="V16" s="18" t="s">
        <v>72</v>
      </c>
      <c r="W16" s="18" t="s">
        <v>72</v>
      </c>
      <c r="X16" s="18" t="s">
        <v>71</v>
      </c>
      <c r="Y16" s="18" t="s">
        <v>72</v>
      </c>
      <c r="Z16" s="18" t="s">
        <v>72</v>
      </c>
      <c r="AA16" s="18" t="s">
        <v>72</v>
      </c>
      <c r="AB16" s="18" t="s">
        <v>72</v>
      </c>
    </row>
    <row r="17" spans="1:28" ht="31.2" x14ac:dyDescent="0.3">
      <c r="B17" s="13" t="s">
        <v>87</v>
      </c>
      <c r="C17" s="13" t="s">
        <v>88</v>
      </c>
      <c r="D17" s="14" t="s">
        <v>82</v>
      </c>
      <c r="E17" s="15" t="s">
        <v>174</v>
      </c>
      <c r="F17" s="16" t="s">
        <v>72</v>
      </c>
      <c r="G17" s="16" t="s">
        <v>71</v>
      </c>
      <c r="H17" s="16" t="s">
        <v>72</v>
      </c>
      <c r="I17" s="16" t="s">
        <v>71</v>
      </c>
      <c r="J17" s="16" t="s">
        <v>72</v>
      </c>
      <c r="K17" s="16" t="s">
        <v>71</v>
      </c>
      <c r="L17" s="16" t="s">
        <v>72</v>
      </c>
      <c r="M17" s="16" t="s">
        <v>71</v>
      </c>
      <c r="N17" s="16" t="s">
        <v>71</v>
      </c>
      <c r="O17" s="16" t="s">
        <v>72</v>
      </c>
      <c r="P17" s="17" t="s">
        <v>72</v>
      </c>
      <c r="Q17" s="17" t="s">
        <v>72</v>
      </c>
      <c r="R17" s="17" t="s">
        <v>72</v>
      </c>
      <c r="S17" s="17" t="s">
        <v>71</v>
      </c>
      <c r="T17" s="17" t="s">
        <v>72</v>
      </c>
      <c r="U17" s="17" t="s">
        <v>71</v>
      </c>
      <c r="V17" s="18" t="s">
        <v>72</v>
      </c>
      <c r="W17" s="18" t="s">
        <v>72</v>
      </c>
      <c r="X17" s="18" t="s">
        <v>71</v>
      </c>
      <c r="Y17" s="18" t="s">
        <v>72</v>
      </c>
      <c r="Z17" s="18" t="s">
        <v>72</v>
      </c>
      <c r="AA17" s="18" t="s">
        <v>72</v>
      </c>
      <c r="AB17" s="18" t="s">
        <v>72</v>
      </c>
    </row>
    <row r="18" spans="1:28" ht="31.2" x14ac:dyDescent="0.3">
      <c r="B18" s="13" t="s">
        <v>89</v>
      </c>
      <c r="C18" s="13" t="s">
        <v>90</v>
      </c>
      <c r="D18" s="14" t="s">
        <v>75</v>
      </c>
      <c r="E18" s="15" t="s">
        <v>172</v>
      </c>
      <c r="F18" s="16" t="s">
        <v>72</v>
      </c>
      <c r="G18" s="16" t="s">
        <v>71</v>
      </c>
      <c r="H18" s="16" t="s">
        <v>72</v>
      </c>
      <c r="I18" s="16" t="s">
        <v>71</v>
      </c>
      <c r="J18" s="16" t="s">
        <v>72</v>
      </c>
      <c r="K18" s="16" t="s">
        <v>71</v>
      </c>
      <c r="L18" s="16" t="s">
        <v>72</v>
      </c>
      <c r="M18" s="16" t="s">
        <v>71</v>
      </c>
      <c r="N18" s="16" t="s">
        <v>72</v>
      </c>
      <c r="O18" s="16" t="s">
        <v>71</v>
      </c>
      <c r="P18" s="17" t="s">
        <v>72</v>
      </c>
      <c r="Q18" s="17" t="s">
        <v>72</v>
      </c>
      <c r="R18" s="17" t="s">
        <v>72</v>
      </c>
      <c r="S18" s="17" t="s">
        <v>72</v>
      </c>
      <c r="T18" s="17" t="s">
        <v>72</v>
      </c>
      <c r="U18" s="17" t="s">
        <v>71</v>
      </c>
      <c r="V18" s="18" t="s">
        <v>72</v>
      </c>
      <c r="W18" s="18" t="s">
        <v>71</v>
      </c>
      <c r="X18" s="18" t="s">
        <v>72</v>
      </c>
      <c r="Y18" s="18" t="s">
        <v>72</v>
      </c>
      <c r="Z18" s="18" t="s">
        <v>72</v>
      </c>
      <c r="AA18" s="18" t="s">
        <v>72</v>
      </c>
      <c r="AB18" s="18" t="s">
        <v>72</v>
      </c>
    </row>
    <row r="19" spans="1:28" ht="31.2" x14ac:dyDescent="0.3">
      <c r="B19" s="13" t="s">
        <v>91</v>
      </c>
      <c r="C19" s="13" t="s">
        <v>92</v>
      </c>
      <c r="D19" s="14" t="s">
        <v>75</v>
      </c>
      <c r="E19" s="15" t="s">
        <v>171</v>
      </c>
      <c r="F19" s="16" t="s">
        <v>72</v>
      </c>
      <c r="G19" s="16" t="s">
        <v>71</v>
      </c>
      <c r="H19" s="16" t="s">
        <v>72</v>
      </c>
      <c r="I19" s="16" t="s">
        <v>71</v>
      </c>
      <c r="J19" s="16" t="s">
        <v>72</v>
      </c>
      <c r="K19" s="16" t="s">
        <v>71</v>
      </c>
      <c r="L19" s="16" t="s">
        <v>71</v>
      </c>
      <c r="M19" s="16" t="s">
        <v>72</v>
      </c>
      <c r="N19" s="16" t="s">
        <v>72</v>
      </c>
      <c r="O19" s="16" t="s">
        <v>72</v>
      </c>
      <c r="P19" s="17" t="s">
        <v>72</v>
      </c>
      <c r="Q19" s="17" t="s">
        <v>72</v>
      </c>
      <c r="R19" s="17" t="s">
        <v>72</v>
      </c>
      <c r="S19" s="17" t="s">
        <v>72</v>
      </c>
      <c r="T19" s="17" t="s">
        <v>71</v>
      </c>
      <c r="U19" s="17" t="s">
        <v>72</v>
      </c>
      <c r="V19" s="18" t="s">
        <v>72</v>
      </c>
      <c r="W19" s="18" t="s">
        <v>71</v>
      </c>
      <c r="X19" s="18" t="s">
        <v>72</v>
      </c>
      <c r="Y19" s="18" t="s">
        <v>72</v>
      </c>
      <c r="Z19" s="18" t="s">
        <v>72</v>
      </c>
      <c r="AA19" s="18" t="s">
        <v>72</v>
      </c>
      <c r="AB19" s="18" t="s">
        <v>72</v>
      </c>
    </row>
    <row r="22" spans="1:28" x14ac:dyDescent="0.3">
      <c r="A22" t="s">
        <v>149</v>
      </c>
    </row>
    <row r="23" spans="1:28" x14ac:dyDescent="0.3">
      <c r="A23" t="s">
        <v>150</v>
      </c>
    </row>
    <row r="24" spans="1:28" x14ac:dyDescent="0.3">
      <c r="A24" t="s">
        <v>151</v>
      </c>
    </row>
    <row r="26" spans="1:28" x14ac:dyDescent="0.3">
      <c r="A26" t="s">
        <v>152</v>
      </c>
    </row>
    <row r="27" spans="1:28" x14ac:dyDescent="0.3">
      <c r="A27" t="s">
        <v>153</v>
      </c>
    </row>
    <row r="28" spans="1:28" x14ac:dyDescent="0.3">
      <c r="A28" t="s">
        <v>154</v>
      </c>
    </row>
    <row r="30" spans="1:28" x14ac:dyDescent="0.3">
      <c r="A30" t="s">
        <v>155</v>
      </c>
    </row>
    <row r="31" spans="1:28" x14ac:dyDescent="0.3">
      <c r="A31" t="s">
        <v>156</v>
      </c>
    </row>
    <row r="34" spans="1:1" x14ac:dyDescent="0.3">
      <c r="A34" t="s">
        <v>157</v>
      </c>
    </row>
    <row r="35" spans="1:1" x14ac:dyDescent="0.3">
      <c r="A35" t="s">
        <v>158</v>
      </c>
    </row>
    <row r="36" spans="1:1" x14ac:dyDescent="0.3">
      <c r="A36" t="s">
        <v>159</v>
      </c>
    </row>
    <row r="38" spans="1:1" x14ac:dyDescent="0.3">
      <c r="A38" t="s">
        <v>160</v>
      </c>
    </row>
    <row r="43" spans="1:1" x14ac:dyDescent="0.3">
      <c r="A43" t="s">
        <v>161</v>
      </c>
    </row>
    <row r="44" spans="1:1" x14ac:dyDescent="0.3">
      <c r="A44" t="s">
        <v>162</v>
      </c>
    </row>
    <row r="46" spans="1:1" x14ac:dyDescent="0.3">
      <c r="A46" t="s">
        <v>163</v>
      </c>
    </row>
    <row r="47" spans="1:1" x14ac:dyDescent="0.3">
      <c r="A47" t="s">
        <v>164</v>
      </c>
    </row>
    <row r="50" spans="1:1" x14ac:dyDescent="0.3">
      <c r="A50" t="s">
        <v>165</v>
      </c>
    </row>
  </sheetData>
  <mergeCells count="30">
    <mergeCell ref="B6:B9"/>
    <mergeCell ref="Y8:Y9"/>
    <mergeCell ref="AA8:AA9"/>
    <mergeCell ref="T8:T9"/>
    <mergeCell ref="W7:AB7"/>
    <mergeCell ref="R8:R9"/>
    <mergeCell ref="X8:X9"/>
    <mergeCell ref="C6:C7"/>
    <mergeCell ref="H8:I8"/>
    <mergeCell ref="D6:D7"/>
    <mergeCell ref="J8:K8"/>
    <mergeCell ref="C8:C9"/>
    <mergeCell ref="U8:U9"/>
    <mergeCell ref="W8:W9"/>
    <mergeCell ref="D1:G1"/>
    <mergeCell ref="S8:S9"/>
    <mergeCell ref="L8:M8"/>
    <mergeCell ref="N8:O8"/>
    <mergeCell ref="F8:G8"/>
    <mergeCell ref="F7:O7"/>
    <mergeCell ref="D8:D9"/>
    <mergeCell ref="B3:F3"/>
    <mergeCell ref="Q8:Q9"/>
    <mergeCell ref="P7:V7"/>
    <mergeCell ref="E7:E9"/>
    <mergeCell ref="E6:AC6"/>
    <mergeCell ref="Z8:Z9"/>
    <mergeCell ref="P8:P9"/>
    <mergeCell ref="AB8:AB9"/>
    <mergeCell ref="V8:V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29"/>
  <sheetViews>
    <sheetView tabSelected="1" zoomScale="70" zoomScaleNormal="70" workbookViewId="0">
      <selection activeCell="L30" sqref="L30"/>
    </sheetView>
  </sheetViews>
  <sheetFormatPr defaultColWidth="8.88671875" defaultRowHeight="14.4" x14ac:dyDescent="0.3"/>
  <cols>
    <col min="3" max="3" width="11.109375" bestFit="1" customWidth="1"/>
    <col min="4" max="4" width="10" bestFit="1" customWidth="1"/>
    <col min="5" max="5" width="53.5546875" customWidth="1"/>
    <col min="6" max="6" width="42.88671875" customWidth="1"/>
    <col min="7" max="7" width="31.77734375" customWidth="1"/>
    <col min="8" max="8" width="42.44140625" bestFit="1" customWidth="1"/>
    <col min="10" max="10" width="7.109375" bestFit="1" customWidth="1"/>
    <col min="11" max="11" width="10.44140625" bestFit="1" customWidth="1"/>
    <col min="12" max="12" width="27.109375" customWidth="1"/>
    <col min="13" max="13" width="59.77734375" bestFit="1" customWidth="1"/>
    <col min="15" max="15" width="12.33203125" customWidth="1"/>
  </cols>
  <sheetData>
    <row r="1" spans="2:12" x14ac:dyDescent="0.3">
      <c r="B1" s="11"/>
      <c r="D1" s="47" t="s">
        <v>0</v>
      </c>
      <c r="E1" s="48"/>
      <c r="F1" s="48"/>
      <c r="G1" s="49"/>
    </row>
    <row r="3" spans="2:12" x14ac:dyDescent="0.3">
      <c r="B3" s="40" t="s">
        <v>93</v>
      </c>
      <c r="C3" s="41"/>
      <c r="D3" s="41"/>
      <c r="E3" s="41"/>
      <c r="F3" s="41"/>
      <c r="G3" s="41"/>
      <c r="H3" s="42"/>
    </row>
    <row r="4" spans="2:12" ht="15" thickBot="1" x14ac:dyDescent="0.35">
      <c r="B4" s="75" t="s">
        <v>94</v>
      </c>
      <c r="C4" s="69" t="s">
        <v>95</v>
      </c>
      <c r="D4" s="45" t="s">
        <v>96</v>
      </c>
      <c r="E4" s="67" t="s">
        <v>97</v>
      </c>
      <c r="F4" s="68"/>
      <c r="G4" s="71" t="s">
        <v>98</v>
      </c>
      <c r="H4" s="49"/>
    </row>
    <row r="5" spans="2:12" ht="15" customHeight="1" thickTop="1" thickBot="1" x14ac:dyDescent="0.35">
      <c r="B5" s="76"/>
      <c r="C5" s="70"/>
      <c r="D5" s="46"/>
      <c r="E5" s="2" t="s">
        <v>99</v>
      </c>
      <c r="F5" s="2" t="s">
        <v>100</v>
      </c>
      <c r="G5" s="2" t="s">
        <v>101</v>
      </c>
      <c r="H5" s="2" t="s">
        <v>102</v>
      </c>
    </row>
    <row r="6" spans="2:12" ht="15" customHeight="1" thickTop="1" x14ac:dyDescent="0.3">
      <c r="B6" s="19">
        <v>1</v>
      </c>
      <c r="C6" s="65" t="s">
        <v>103</v>
      </c>
      <c r="D6" s="4" t="s">
        <v>67</v>
      </c>
      <c r="E6" s="20" t="s">
        <v>104</v>
      </c>
      <c r="F6" s="20" t="s">
        <v>72</v>
      </c>
      <c r="G6" s="20" t="s">
        <v>69</v>
      </c>
      <c r="H6" s="19" t="s">
        <v>69</v>
      </c>
    </row>
    <row r="7" spans="2:12" x14ac:dyDescent="0.3">
      <c r="B7" s="19">
        <v>2</v>
      </c>
      <c r="C7" s="66"/>
      <c r="D7" s="4" t="s">
        <v>76</v>
      </c>
      <c r="E7" s="19" t="s">
        <v>105</v>
      </c>
      <c r="F7" s="19" t="s">
        <v>72</v>
      </c>
      <c r="G7" s="19" t="s">
        <v>75</v>
      </c>
      <c r="H7" s="19" t="s">
        <v>75</v>
      </c>
    </row>
    <row r="8" spans="2:12" x14ac:dyDescent="0.3">
      <c r="B8" s="19">
        <v>3</v>
      </c>
      <c r="C8" s="66"/>
      <c r="D8" s="9" t="s">
        <v>80</v>
      </c>
      <c r="E8" s="19" t="s">
        <v>106</v>
      </c>
      <c r="F8" s="19" t="s">
        <v>107</v>
      </c>
      <c r="G8" s="19" t="s">
        <v>82</v>
      </c>
      <c r="H8" s="19" t="s">
        <v>82</v>
      </c>
    </row>
    <row r="9" spans="2:12" x14ac:dyDescent="0.3">
      <c r="B9" s="19">
        <v>4</v>
      </c>
      <c r="C9" s="66"/>
      <c r="D9" s="9" t="s">
        <v>83</v>
      </c>
      <c r="E9" s="19" t="s">
        <v>106</v>
      </c>
      <c r="F9" s="19" t="s">
        <v>108</v>
      </c>
      <c r="G9" s="19" t="s">
        <v>75</v>
      </c>
      <c r="H9" s="19" t="s">
        <v>75</v>
      </c>
    </row>
    <row r="10" spans="2:12" ht="15" customHeight="1" x14ac:dyDescent="0.3">
      <c r="B10" s="19">
        <v>5</v>
      </c>
      <c r="C10" s="66"/>
      <c r="D10" s="19" t="s">
        <v>85</v>
      </c>
      <c r="E10" s="19" t="s">
        <v>109</v>
      </c>
      <c r="F10" s="19" t="s">
        <v>110</v>
      </c>
      <c r="G10" s="19" t="s">
        <v>75</v>
      </c>
      <c r="H10" s="19" t="s">
        <v>75</v>
      </c>
    </row>
    <row r="11" spans="2:12" ht="15" customHeight="1" x14ac:dyDescent="0.3">
      <c r="B11" s="20">
        <v>6</v>
      </c>
      <c r="C11" s="66"/>
      <c r="D11" s="19" t="s">
        <v>73</v>
      </c>
      <c r="E11" s="19" t="s">
        <v>175</v>
      </c>
      <c r="F11" s="19" t="s">
        <v>72</v>
      </c>
      <c r="G11" s="19" t="b">
        <v>1</v>
      </c>
      <c r="H11" s="19" t="b">
        <v>1</v>
      </c>
    </row>
    <row r="12" spans="2:12" ht="15" customHeight="1" x14ac:dyDescent="0.3">
      <c r="B12" s="20">
        <v>7</v>
      </c>
      <c r="C12" s="66"/>
      <c r="D12" s="19" t="s">
        <v>78</v>
      </c>
      <c r="E12" s="19" t="s">
        <v>176</v>
      </c>
      <c r="F12" s="19" t="s">
        <v>177</v>
      </c>
      <c r="G12" s="19" t="b">
        <v>1</v>
      </c>
      <c r="H12" s="19" t="b">
        <v>1</v>
      </c>
    </row>
    <row r="13" spans="2:12" ht="15" customHeight="1" x14ac:dyDescent="0.3">
      <c r="B13" s="20">
        <v>8</v>
      </c>
      <c r="C13" s="66"/>
      <c r="D13" s="19" t="s">
        <v>87</v>
      </c>
      <c r="E13" s="19" t="s">
        <v>178</v>
      </c>
      <c r="F13" s="19" t="s">
        <v>179</v>
      </c>
      <c r="G13" s="19" t="b">
        <v>0</v>
      </c>
      <c r="H13" s="19" t="b">
        <v>0</v>
      </c>
    </row>
    <row r="14" spans="2:12" ht="15" customHeight="1" x14ac:dyDescent="0.3">
      <c r="B14" s="20">
        <v>9</v>
      </c>
      <c r="C14" s="66"/>
      <c r="D14" s="19" t="s">
        <v>89</v>
      </c>
      <c r="E14" s="19" t="s">
        <v>106</v>
      </c>
      <c r="F14" s="19" t="s">
        <v>180</v>
      </c>
      <c r="G14" s="19" t="b">
        <v>1</v>
      </c>
      <c r="H14" s="19" t="b">
        <v>1</v>
      </c>
    </row>
    <row r="15" spans="2:12" ht="15" customHeight="1" x14ac:dyDescent="0.3">
      <c r="B15" s="20">
        <v>10</v>
      </c>
      <c r="C15" s="66"/>
      <c r="D15" s="19" t="s">
        <v>91</v>
      </c>
      <c r="E15" s="19" t="s">
        <v>182</v>
      </c>
      <c r="F15" s="19" t="s">
        <v>181</v>
      </c>
      <c r="G15" s="19" t="b">
        <v>1</v>
      </c>
      <c r="H15" s="19" t="b">
        <v>1</v>
      </c>
      <c r="I15" s="3"/>
      <c r="J15" s="3"/>
      <c r="K15" s="3"/>
      <c r="L15" s="3"/>
    </row>
    <row r="16" spans="2:12" ht="15" customHeight="1" x14ac:dyDescent="0.3">
      <c r="B16" s="19">
        <v>11</v>
      </c>
      <c r="C16" s="66"/>
      <c r="D16" s="4" t="s">
        <v>183</v>
      </c>
      <c r="E16" s="20" t="s">
        <v>72</v>
      </c>
      <c r="F16" s="20" t="s">
        <v>194</v>
      </c>
      <c r="G16" s="20" t="s">
        <v>195</v>
      </c>
      <c r="H16" s="19" t="s">
        <v>195</v>
      </c>
      <c r="I16" s="3"/>
      <c r="J16" s="3"/>
      <c r="K16" s="3"/>
      <c r="L16" s="3"/>
    </row>
    <row r="17" spans="2:14" ht="15" customHeight="1" x14ac:dyDescent="0.3">
      <c r="B17" s="19">
        <v>12</v>
      </c>
      <c r="C17" s="66"/>
      <c r="D17" s="4" t="s">
        <v>184</v>
      </c>
      <c r="E17" s="19" t="s">
        <v>72</v>
      </c>
      <c r="F17" s="19" t="s">
        <v>207</v>
      </c>
      <c r="G17" s="19" t="s">
        <v>185</v>
      </c>
      <c r="H17" s="19" t="s">
        <v>185</v>
      </c>
      <c r="I17" s="3"/>
      <c r="J17" s="3"/>
      <c r="K17" s="3"/>
      <c r="L17" s="3"/>
    </row>
    <row r="18" spans="2:14" ht="15" customHeight="1" x14ac:dyDescent="0.3">
      <c r="B18" s="19">
        <v>13</v>
      </c>
      <c r="C18" s="66"/>
      <c r="D18" s="9" t="s">
        <v>186</v>
      </c>
      <c r="E18" s="19" t="s">
        <v>72</v>
      </c>
      <c r="F18" s="19" t="s">
        <v>208</v>
      </c>
      <c r="G18" s="19" t="s">
        <v>196</v>
      </c>
      <c r="H18" s="19" t="s">
        <v>196</v>
      </c>
      <c r="I18" s="3"/>
      <c r="J18" s="3"/>
      <c r="K18" s="3"/>
      <c r="L18" s="3"/>
    </row>
    <row r="19" spans="2:14" ht="15" customHeight="1" x14ac:dyDescent="0.3">
      <c r="B19" s="19">
        <v>14</v>
      </c>
      <c r="C19" s="66"/>
      <c r="D19" s="9" t="s">
        <v>187</v>
      </c>
      <c r="E19" s="19" t="s">
        <v>72</v>
      </c>
      <c r="F19" s="19" t="s">
        <v>209</v>
      </c>
      <c r="G19" s="19" t="s">
        <v>188</v>
      </c>
      <c r="H19" s="19" t="s">
        <v>188</v>
      </c>
      <c r="I19" s="3"/>
      <c r="J19" s="3"/>
      <c r="K19" s="3"/>
      <c r="L19" s="3"/>
    </row>
    <row r="20" spans="2:14" ht="15" customHeight="1" x14ac:dyDescent="0.3">
      <c r="B20" s="19">
        <v>15</v>
      </c>
      <c r="C20" s="66"/>
      <c r="D20" s="19" t="s">
        <v>189</v>
      </c>
      <c r="E20" s="19" t="s">
        <v>197</v>
      </c>
      <c r="F20" s="19" t="s">
        <v>198</v>
      </c>
      <c r="G20" s="19" t="s">
        <v>190</v>
      </c>
      <c r="H20" s="19" t="s">
        <v>190</v>
      </c>
      <c r="I20" s="3"/>
      <c r="J20" s="3"/>
      <c r="K20" s="3"/>
      <c r="L20" s="3"/>
    </row>
    <row r="21" spans="2:14" ht="15" customHeight="1" x14ac:dyDescent="0.3">
      <c r="B21" s="20">
        <v>16</v>
      </c>
      <c r="C21" s="66"/>
      <c r="D21" s="19" t="s">
        <v>191</v>
      </c>
      <c r="E21" s="19" t="s">
        <v>199</v>
      </c>
      <c r="F21" s="19" t="s">
        <v>200</v>
      </c>
      <c r="G21" s="19" t="s">
        <v>201</v>
      </c>
      <c r="H21" s="19" t="s">
        <v>201</v>
      </c>
      <c r="I21" s="3"/>
      <c r="J21" s="3"/>
      <c r="K21" s="3"/>
      <c r="L21" s="3"/>
    </row>
    <row r="22" spans="2:14" ht="15" customHeight="1" x14ac:dyDescent="0.3">
      <c r="B22" s="20">
        <v>17</v>
      </c>
      <c r="C22" s="66"/>
      <c r="D22" s="19" t="s">
        <v>192</v>
      </c>
      <c r="E22" s="19" t="s">
        <v>202</v>
      </c>
      <c r="F22" s="19" t="s">
        <v>203</v>
      </c>
      <c r="G22" s="19" t="s">
        <v>204</v>
      </c>
      <c r="H22" s="19" t="s">
        <v>204</v>
      </c>
      <c r="I22" s="3"/>
      <c r="J22" s="3"/>
      <c r="K22" s="3"/>
      <c r="L22" s="3"/>
    </row>
    <row r="23" spans="2:14" ht="15" customHeight="1" x14ac:dyDescent="0.3">
      <c r="B23" s="20">
        <v>18</v>
      </c>
      <c r="C23" s="66"/>
      <c r="D23" s="19" t="s">
        <v>193</v>
      </c>
      <c r="E23" s="19" t="s">
        <v>205</v>
      </c>
      <c r="F23" s="19" t="s">
        <v>206</v>
      </c>
      <c r="G23" s="19" t="s">
        <v>206</v>
      </c>
      <c r="H23" s="19" t="s">
        <v>206</v>
      </c>
      <c r="I23" s="3"/>
      <c r="J23" s="3"/>
      <c r="K23" s="3"/>
      <c r="L23" s="3"/>
    </row>
    <row r="24" spans="2:14" ht="15" customHeight="1" x14ac:dyDescent="0.3">
      <c r="B24" s="3"/>
      <c r="C24" s="3"/>
      <c r="D24" s="3"/>
      <c r="E24" s="3"/>
      <c r="F24" s="3"/>
      <c r="G24" s="3"/>
      <c r="I24" s="3"/>
      <c r="J24" s="3"/>
      <c r="K24" s="3"/>
      <c r="L24" s="3"/>
    </row>
    <row r="25" spans="2:14" ht="15" customHeight="1" thickBot="1" x14ac:dyDescent="0.35">
      <c r="B25" s="3" t="s">
        <v>111</v>
      </c>
      <c r="K25" s="21"/>
    </row>
    <row r="26" spans="2:14" ht="15.6" customHeight="1" thickTop="1" thickBot="1" x14ac:dyDescent="0.35">
      <c r="B26" s="77" t="s">
        <v>112</v>
      </c>
      <c r="C26" s="62"/>
      <c r="D26" s="62"/>
      <c r="E26" s="62"/>
      <c r="F26" s="60" t="s">
        <v>113</v>
      </c>
      <c r="G26" s="53"/>
      <c r="H26" s="61" t="s">
        <v>114</v>
      </c>
      <c r="I26" s="62"/>
      <c r="J26" s="62"/>
      <c r="K26" s="62"/>
      <c r="L26" s="63"/>
      <c r="M26" s="52" t="s">
        <v>115</v>
      </c>
      <c r="N26" s="53"/>
    </row>
    <row r="27" spans="2:14" ht="15" customHeight="1" thickTop="1" x14ac:dyDescent="0.3">
      <c r="B27" s="72" t="s">
        <v>116</v>
      </c>
      <c r="C27" s="54" t="s">
        <v>117</v>
      </c>
      <c r="D27" s="54" t="s">
        <v>118</v>
      </c>
      <c r="E27" s="78" t="s">
        <v>119</v>
      </c>
      <c r="F27" s="64" t="s">
        <v>120</v>
      </c>
      <c r="G27" s="50" t="s">
        <v>121</v>
      </c>
      <c r="H27" s="74" t="s">
        <v>122</v>
      </c>
      <c r="I27" s="54" t="s">
        <v>116</v>
      </c>
      <c r="J27" s="54" t="s">
        <v>117</v>
      </c>
      <c r="K27" s="56" t="s">
        <v>123</v>
      </c>
      <c r="L27" s="73" t="s">
        <v>124</v>
      </c>
      <c r="M27" s="58" t="s">
        <v>125</v>
      </c>
      <c r="N27" s="43" t="s">
        <v>126</v>
      </c>
    </row>
    <row r="28" spans="2:14" x14ac:dyDescent="0.3">
      <c r="B28" s="59"/>
      <c r="C28" s="55"/>
      <c r="D28" s="55"/>
      <c r="E28" s="55"/>
      <c r="F28" s="44"/>
      <c r="G28" s="51"/>
      <c r="H28" s="59"/>
      <c r="I28" s="55"/>
      <c r="J28" s="55"/>
      <c r="K28" s="57"/>
      <c r="L28" s="44"/>
      <c r="M28" s="59"/>
      <c r="N28" s="44"/>
    </row>
    <row r="29" spans="2:14" x14ac:dyDescent="0.3">
      <c r="B29" s="24">
        <f>SUM(C29:D29)</f>
        <v>18</v>
      </c>
      <c r="C29" s="22">
        <v>18</v>
      </c>
      <c r="D29" s="22">
        <v>0</v>
      </c>
      <c r="E29" s="105">
        <v>1</v>
      </c>
      <c r="F29" s="23">
        <v>0</v>
      </c>
      <c r="G29" s="8">
        <v>0</v>
      </c>
      <c r="H29" s="7">
        <v>0</v>
      </c>
      <c r="I29" s="24">
        <f>SUM(J29:K29)</f>
        <v>18</v>
      </c>
      <c r="J29" s="22">
        <v>18</v>
      </c>
      <c r="K29" s="25">
        <v>0</v>
      </c>
      <c r="L29" s="106">
        <v>1</v>
      </c>
      <c r="M29" s="6" t="s">
        <v>127</v>
      </c>
      <c r="N29" s="26">
        <f>C29</f>
        <v>18</v>
      </c>
    </row>
  </sheetData>
  <mergeCells count="25">
    <mergeCell ref="G4:H4"/>
    <mergeCell ref="B27:B28"/>
    <mergeCell ref="L27:L28"/>
    <mergeCell ref="H27:H28"/>
    <mergeCell ref="J27:J28"/>
    <mergeCell ref="B4:B5"/>
    <mergeCell ref="B26:E26"/>
    <mergeCell ref="C27:C28"/>
    <mergeCell ref="E27:E28"/>
    <mergeCell ref="C6:C23"/>
    <mergeCell ref="B3:H3"/>
    <mergeCell ref="N27:N28"/>
    <mergeCell ref="D4:D5"/>
    <mergeCell ref="D1:G1"/>
    <mergeCell ref="G27:G28"/>
    <mergeCell ref="M26:N26"/>
    <mergeCell ref="I27:I28"/>
    <mergeCell ref="K27:K28"/>
    <mergeCell ref="M27:M28"/>
    <mergeCell ref="F26:G26"/>
    <mergeCell ref="H26:L26"/>
    <mergeCell ref="D27:D28"/>
    <mergeCell ref="F27:F28"/>
    <mergeCell ref="E4:F4"/>
    <mergeCell ref="C4:C5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 Naghel</cp:lastModifiedBy>
  <dcterms:created xsi:type="dcterms:W3CDTF">2006-09-16T00:00:00Z</dcterms:created>
  <dcterms:modified xsi:type="dcterms:W3CDTF">2026-04-18T18:06:11Z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