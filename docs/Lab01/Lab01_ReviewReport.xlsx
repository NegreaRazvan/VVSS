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C:\Users\Alle\IdeaProjects\VVSS\docs\Lab01\"/>
    </mc:Choice>
  </mc:AlternateContent>
  <bookViews>
    <workbookView xWindow="1536" yWindow="1536" windowWidth="23040" windowHeight="13560" tabRatio="650" activeTab="1"/>
  </bookViews>
  <sheets>
    <sheet name="Requirements Phase Defects" sheetId="1" r:id="rId1"/>
    <sheet name="Architect. Design Phase Defects" sheetId="2" r:id="rId2"/>
    <sheet name="Coding Phase Defects" sheetId="3" r:id="rId3"/>
    <sheet name="Tool-basedCodeAnalysis" sheetId="4" r:id="rId4"/>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1" i="4" l="1"/>
  <c r="B12" i="4" s="1"/>
  <c r="B13" i="4" s="1"/>
  <c r="B14" i="4" s="1"/>
  <c r="B15" i="4" s="1"/>
  <c r="B16" i="4" s="1"/>
  <c r="B17" i="4" s="1"/>
  <c r="B18" i="4" s="1"/>
  <c r="B19" i="4" s="1"/>
  <c r="B20" i="4" s="1"/>
  <c r="B21" i="4" s="1"/>
  <c r="B22" i="4" s="1"/>
  <c r="B23" i="4" s="1"/>
  <c r="B24" i="4" s="1"/>
  <c r="B25" i="4" s="1"/>
  <c r="B26" i="4" s="1"/>
  <c r="B27" i="4" s="1"/>
  <c r="B28" i="4" s="1"/>
  <c r="B29" i="4" s="1"/>
  <c r="B30" i="4" s="1"/>
  <c r="B11" i="3"/>
  <c r="B12" i="3" s="1"/>
  <c r="B13" i="3" s="1"/>
  <c r="B14" i="3" s="1"/>
  <c r="B15" i="3" s="1"/>
  <c r="B16" i="3" s="1"/>
  <c r="B17" i="3" s="1"/>
  <c r="B18" i="3" s="1"/>
  <c r="B19" i="3" s="1"/>
  <c r="B20" i="3" s="1"/>
  <c r="B21" i="3" s="1"/>
  <c r="B22" i="3" s="1"/>
  <c r="B23" i="3" s="1"/>
  <c r="B24" i="3" s="1"/>
  <c r="B25" i="3" s="1"/>
  <c r="B26" i="3" s="1"/>
  <c r="B27" i="3" s="1"/>
  <c r="B28" i="3" s="1"/>
  <c r="B29" i="3" s="1"/>
  <c r="B30" i="3" s="1"/>
  <c r="B11" i="2"/>
  <c r="B12" i="2" s="1"/>
  <c r="B13" i="2" s="1"/>
  <c r="B14" i="2" s="1"/>
  <c r="B15" i="2" s="1"/>
  <c r="B16" i="2" s="1"/>
  <c r="B17" i="2" s="1"/>
  <c r="B18" i="2" s="1"/>
  <c r="B19" i="2" s="1"/>
  <c r="B20" i="2" s="1"/>
  <c r="B21" i="2" s="1"/>
  <c r="B22" i="2" s="1"/>
  <c r="B23" i="2" s="1"/>
  <c r="B24" i="2" s="1"/>
  <c r="B25" i="2" s="1"/>
  <c r="B26" i="2" s="1"/>
  <c r="B11" i="1"/>
  <c r="B12" i="1" s="1"/>
  <c r="B13" i="1" s="1"/>
  <c r="B14" i="1" s="1"/>
  <c r="B15" i="1" s="1"/>
  <c r="B16" i="1" s="1"/>
  <c r="B17" i="1" s="1"/>
  <c r="B18" i="1" s="1"/>
  <c r="B19" i="1" s="1"/>
  <c r="B20" i="1" s="1"/>
  <c r="B21" i="1" s="1"/>
  <c r="B22" i="1" s="1"/>
  <c r="B23" i="1" s="1"/>
  <c r="B24" i="1" s="1"/>
  <c r="B25" i="1" s="1"/>
</calcChain>
</file>

<file path=xl/sharedStrings.xml><?xml version="1.0" encoding="utf-8"?>
<sst xmlns="http://schemas.openxmlformats.org/spreadsheetml/2006/main" count="163" uniqueCount="102">
  <si>
    <t>do not print this form</t>
  </si>
  <si>
    <t>Echipa</t>
  </si>
  <si>
    <t>Review Form. Requirements Defects</t>
  </si>
  <si>
    <t>Numele si prenumele</t>
  </si>
  <si>
    <t>Grupa</t>
  </si>
  <si>
    <t>Student 1:</t>
  </si>
  <si>
    <t>Document  Title:</t>
  </si>
  <si>
    <t>Requirements Document</t>
  </si>
  <si>
    <t>Student 2:</t>
  </si>
  <si>
    <t>Author Name:</t>
  </si>
  <si>
    <t>Student 3:</t>
  </si>
  <si>
    <t>Reviewer Name:</t>
  </si>
  <si>
    <t>Echipa MyDrinkShop</t>
  </si>
  <si>
    <t xml:space="preserve">Review date: </t>
  </si>
  <si>
    <t>13.03.2026</t>
  </si>
  <si>
    <t>Crt. No.</t>
  </si>
  <si>
    <t>R01</t>
  </si>
  <si>
    <t>Requirements_v1.0.pdf, p.1, cerinta 3</t>
  </si>
  <si>
    <t>Cerinta 3 mentioneaza ca utilizatorul poate adauga/modifica/sterge tipuri si categorii de bauturi, dar operatiile nu sunt detaliate: nu se specifica campuri obligatorii, constrangeri sau comportament la stergere cand exista produse asociate.</t>
  </si>
  <si>
    <t>R02</t>
  </si>
  <si>
    <t>Requirements_v1.0.pdf, p.1</t>
  </si>
  <si>
    <t>Lipsesc cerinte functionale pentru gestionarea ingredientelor din perspectiva administratorului (CRUD ingrediente). Cerinta 5 mentioneaza doar afisarea cantitatii si actualizarea stocului, nu si adaugarea sau stergerea ingredientelor.</t>
  </si>
  <si>
    <t>R05</t>
  </si>
  <si>
    <t>Requirements_v1.0.pdf, p.1, cerinta 7</t>
  </si>
  <si>
    <t>Cerinta 7 afirma ca bonul de casa se salveaza in format .csv, dar un bon fiscal are un format text structurat. Formatul .csv este adecvat pentru export tabular (cerinta 8), nu pentru bon fiscal. Cele doua cerinte sunt confuze.</t>
  </si>
  <si>
    <t>R06</t>
  </si>
  <si>
    <t>Nu sunt definite rolurile utilizatorilor (administrator, operator/casier). Aplicatia nu mentioneaza daca exista autentificare sau mai multi utilizatori, informatii esentiale pentru o aplicatie de gestiune comerciala.</t>
  </si>
  <si>
    <t>0.5</t>
  </si>
  <si>
    <t>Effort to review document (hours):</t>
  </si>
  <si>
    <t>Review Form. Architectural Design Defects</t>
  </si>
  <si>
    <t>Architectural Design Document</t>
  </si>
  <si>
    <t xml:space="preserve">Author Name: </t>
  </si>
  <si>
    <t>A05</t>
  </si>
  <si>
    <t>Nu exista o strategie coerenta de tratare a erorilor reflectata in diagrama. ValidationException exista in cod dar nu apare in diagrama, si nu este definit un mecanism centralizat de error handling la nivel arhitectural.</t>
  </si>
  <si>
    <t>A03</t>
  </si>
  <si>
    <t>Diagrama nu include clase Repository pentru TipBautura si CategorieBautura, desi cerinta 3 specifica explicit CRUD pentru aceste entitati. Arhitectura nu acopera toate cerintele functionale.</t>
  </si>
  <si>
    <t>A06</t>
  </si>
  <si>
    <t>Nu sunt documentate pattern-uri de design clasice: Observer ar fi util pentru actualizarea UI la modificarea datelor; Factory ar putea fi folosit pentru crearea entitatilor din fisiere text.</t>
  </si>
  <si>
    <t>A07</t>
  </si>
  <si>
    <t>Clasa DrinkShopService functioneaza ca un Facade, dar rolul sau nu este explicit documentat in diagrama. Descrierea clasei nu mentioneaza responsabilitatea de coordonare a serviciilor.</t>
  </si>
  <si>
    <t>A09</t>
  </si>
  <si>
    <t>Review Form. Coding Defects</t>
  </si>
  <si>
    <t>Coding Document</t>
  </si>
  <si>
    <t>C08</t>
  </si>
  <si>
    <t>FileAbstractRepository.java:27, 41</t>
  </si>
  <si>
    <t>Exceptiile IOException din loadFromFile() si writeToFile() sunt tratate doar cu e.printStackTrace(), fara propagare sau logging. Aplicatia poate continua in stare inconsistenta dupa un esec de I/O.</t>
  </si>
  <si>
    <t>C01</t>
  </si>
  <si>
    <t>ReceiptGenerator.java:14</t>
  </si>
  <si>
    <t>Metoda generate() nu verifica daca produsul cautat exista in lista. Apelul .toList().get(0) genereaza IndexOutOfBoundsException daca produsul nu este gasit (ex: produs sters intre timp din lista).</t>
  </si>
  <si>
    <t>C12</t>
  </si>
  <si>
    <t>Stoc.java:7-8, linia 10</t>
  </si>
  <si>
    <t>Campurile cantitate si stocMinim sunt declarate double, dar constructorul le primeste ca int. Aceasta inconsistenta de tip poate cauza pierderi de precizie si erori la deserializarea valorilor din fisier text.</t>
  </si>
  <si>
    <t>C07</t>
  </si>
  <si>
    <t>DrinkShopService.java:83-89</t>
  </si>
  <si>
    <t>Metoda comandaProdus() consuma stocul dar nu actualizeaza totalul comenzii. Lipseste mecanism de rollback: daca consumul esueaza partial, stocurile raman intr-o stare incoerenta.</t>
  </si>
  <si>
    <t>C11</t>
  </si>
  <si>
    <t>DrinkShopService.java, domain/*.java (multiple fisiere)</t>
  </si>
  <si>
    <t>Mix inconsistent de romana si engleza in denumiri: getNume(), getPret(), retetaService vs. addOrder(), computeTotal(), orderService; comandaProdus() vs. addOrder(). Lipseste o conventie uniforma.</t>
  </si>
  <si>
    <t>Tool-based Code Analysis</t>
  </si>
  <si>
    <t>Tool used:</t>
  </si>
  <si>
    <t>SonarQube</t>
  </si>
  <si>
    <t>Order.java:62-64</t>
  </si>
  <si>
    <t>sonar:S4144 - Duplicate method body: getTotal() si getTotalPrice() returneaza identic campul totalPrice</t>
  </si>
  <si>
    <t>public double getTotal() { return totalPrice; } (duplicat)</t>
  </si>
  <si>
    <t>CORECTAT: Eliminat getTotal(), inlocuit toate apelurile cu getTotalPrice().</t>
  </si>
  <si>
    <t>OrderValidator.java:13</t>
  </si>
  <si>
    <t>sonar:S1643 - String concatenation using += in loop</t>
  </si>
  <si>
    <t>String errors = ""; ... errors += e.getMessage();</t>
  </si>
  <si>
    <t>CORECTAT: StringBuilder errors = new StringBuilder(); errors.append(e.getMessage()); throw new ValidationException(errors.toString());</t>
  </si>
  <si>
    <t>FileAbstractRepository.java:26-28</t>
  </si>
  <si>
    <t>sonar:S2139 - Exception catch block only calls e.printStackTrace()</t>
  </si>
  <si>
    <t>catch (IOException e) { e.printStackTrace(); }</t>
  </si>
  <si>
    <t>CORECTAT: catch (IOException e) { throw new RuntimeException("Failed to read file: " + fileName, e); }</t>
  </si>
  <si>
    <t>ReceiptGenerator.java:15</t>
  </si>
  <si>
    <t>sonar:S1643 - String concatenation operator + inside StringBuilder.append() call</t>
  </si>
  <si>
    <t>sb.append(p.getNume()+": ").append(p.getPret())</t>
  </si>
  <si>
    <t>CORECTAT: sb.append(p.getNume()).append(": ").append(p.getPret())</t>
  </si>
  <si>
    <t>DrinkShopService.java:23</t>
  </si>
  <si>
    <t>sonar:S1117 - Local variable name hides field name: parametrul stocService ascunde campul privat</t>
  </si>
  <si>
    <t>Repository&lt;Integer, Stoc&gt; stocService</t>
  </si>
  <si>
    <t>CORECTAT: Repository&lt;Integer, Stoc&gt; stocRepo - elimina ambiguitatea intre parametru si camp.</t>
  </si>
  <si>
    <t>Effort to perform tool-based code analysis (hours):</t>
  </si>
  <si>
    <t>1.0</t>
  </si>
  <si>
    <t>Negrea Razvan</t>
  </si>
  <si>
    <t>Naghel Roland</t>
  </si>
  <si>
    <t>Moroz Alexandra</t>
  </si>
  <si>
    <t>Nagel Roland</t>
  </si>
  <si>
    <t>Requirements_v1.0.pdf, p.1, cerința 2</t>
  </si>
  <si>
    <t>Nu se specifică diferența dintre tip și categorie, respectiv ce ar trebui să reprezinte acestea.</t>
  </si>
  <si>
    <t>R04</t>
  </si>
  <si>
    <t>Nu se specifică ce ar trebui să facă aplicația în cazul în care fișierele de persistență a datelor sunt corupte/prost formatate.</t>
  </si>
  <si>
    <t>Nu se specifică ce ar trebui să conțină ecranul de pornire și dacă comenzile anterioare ar trebui încărcate.</t>
  </si>
  <si>
    <t>Requirements_v1.0.pdf, p., cerința 8</t>
  </si>
  <si>
    <t>Nu se menționează ce se întâmplă în cazul închiderii aplicației înainte de salvarea comenzilor pentru ziua curentă.</t>
  </si>
  <si>
    <t>Requirements_MyDrinkShop.png_1.1.png, toate clasele</t>
  </si>
  <si>
    <t>Requirements_MyDrinkShop.png_1.1.png</t>
  </si>
  <si>
    <t>Requirements_MyDrinkShop.png_1.1.png, clasa DrinkShopService</t>
  </si>
  <si>
    <t>Requirements_MyDrinkShop.png_1.1.pn, clasa DrinkShopApp</t>
  </si>
  <si>
    <t>Clasa DrinkShopApp nu este asociată cu DrinkShopControlle, deși se folosește de aceasta.</t>
  </si>
  <si>
    <t>A01</t>
  </si>
  <si>
    <t>Requirements_MyDrinkShop.png_1.1.png, clasa ProductTest</t>
  </si>
  <si>
    <t>Fișierele de test nu ar trebui incluse în diagrama.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</si>
</sst>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charset val="23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2"/>
      <color rgb="FF000080"/>
      <name val="Calibri"/>
      <family val="2"/>
      <scheme val="minor"/>
    </font>
    <font>
      <i/>
      <sz val="9"/>
      <color rgb="FFC00000"/>
      <name val="Calibri"/>
      <family val="2"/>
      <scheme val="minor"/>
    </font>
    <font>
      <b/>
      <i/>
      <sz val="11"/>
      <color theme="1"/>
      <name val="Calibri"/>
      <family val="2"/>
      <scheme val="minor"/>
    </font>
    <font>
      <sz val="8"/>
      <name val="Calibri"/>
      <family val="2"/>
      <charset val="238"/>
      <scheme val="minor"/>
    </font>
  </fonts>
  <fills count="5">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3"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44">
    <xf numFmtId="0" fontId="0" fillId="0" borderId="0" xfId="0"/>
    <xf numFmtId="0" fontId="8" fillId="0" borderId="1" xfId="0" applyFont="1" applyBorder="1"/>
    <xf numFmtId="0" fontId="8" fillId="0" borderId="1" xfId="0" applyFont="1" applyBorder="1" applyAlignment="1">
      <alignment wrapText="1"/>
    </xf>
    <xf numFmtId="0" fontId="6" fillId="0" borderId="1" xfId="0" applyFont="1" applyBorder="1"/>
    <xf numFmtId="0" fontId="9" fillId="0" borderId="0" xfId="0" applyFont="1"/>
    <xf numFmtId="0" fontId="10" fillId="0" borderId="0" xfId="0" applyFont="1"/>
    <xf numFmtId="0" fontId="6" fillId="0" borderId="0" xfId="0" applyFont="1"/>
    <xf numFmtId="0" fontId="7" fillId="3" borderId="1" xfId="0" applyFont="1" applyFill="1" applyBorder="1"/>
    <xf numFmtId="0" fontId="7" fillId="0" borderId="0" xfId="0" applyFont="1"/>
    <xf numFmtId="0" fontId="7" fillId="0" borderId="1" xfId="0" applyFont="1" applyBorder="1"/>
    <xf numFmtId="0" fontId="7" fillId="0" borderId="1" xfId="0" applyFont="1" applyBorder="1" applyAlignment="1">
      <alignment horizontal="center" vertical="center"/>
    </xf>
    <xf numFmtId="0" fontId="7" fillId="0" borderId="2" xfId="0" applyFont="1" applyBorder="1"/>
    <xf numFmtId="0" fontId="7" fillId="0" borderId="3" xfId="0" applyFont="1" applyBorder="1"/>
    <xf numFmtId="0" fontId="7" fillId="2" borderId="1" xfId="0" applyFont="1" applyFill="1" applyBorder="1"/>
    <xf numFmtId="0" fontId="6" fillId="0" borderId="1" xfId="0" applyFont="1" applyBorder="1" applyAlignment="1">
      <alignment wrapText="1"/>
    </xf>
    <xf numFmtId="0" fontId="7" fillId="4" borderId="1" xfId="0" applyFont="1" applyFill="1" applyBorder="1"/>
    <xf numFmtId="0" fontId="5" fillId="0" borderId="1" xfId="0" applyFont="1" applyBorder="1"/>
    <xf numFmtId="0" fontId="8" fillId="0" borderId="0" xfId="0" applyFont="1"/>
    <xf numFmtId="0" fontId="4" fillId="0" borderId="1" xfId="0" applyFont="1" applyBorder="1"/>
    <xf numFmtId="0" fontId="3" fillId="0" borderId="0" xfId="0" applyFont="1"/>
    <xf numFmtId="0" fontId="2" fillId="0" borderId="0" xfId="0" applyFont="1"/>
    <xf numFmtId="0" fontId="1" fillId="0" borderId="0" xfId="0" applyFont="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8" fillId="0" borderId="1" xfId="0" applyFont="1" applyBorder="1" applyAlignment="1">
      <alignment vertical="center"/>
    </xf>
    <xf numFmtId="0" fontId="8" fillId="0" borderId="1" xfId="0" applyFont="1" applyBorder="1" applyAlignment="1">
      <alignment vertical="center" wrapText="1"/>
    </xf>
    <xf numFmtId="0" fontId="1" fillId="0" borderId="1" xfId="0" applyFont="1" applyBorder="1"/>
    <xf numFmtId="0" fontId="5" fillId="0" borderId="1" xfId="0" applyFont="1" applyBorder="1" applyAlignment="1">
      <alignment horizontal="center"/>
    </xf>
    <xf numFmtId="0" fontId="0" fillId="0" borderId="3" xfId="0" applyBorder="1"/>
    <xf numFmtId="0" fontId="0" fillId="0" borderId="4" xfId="0" applyBorder="1"/>
    <xf numFmtId="0" fontId="7" fillId="0" borderId="1" xfId="0" applyFont="1" applyBorder="1" applyAlignment="1">
      <alignment horizontal="right"/>
    </xf>
    <xf numFmtId="0" fontId="11" fillId="2" borderId="1" xfId="0" applyFont="1" applyFill="1" applyBorder="1" applyAlignment="1">
      <alignment horizontal="right"/>
    </xf>
    <xf numFmtId="0" fontId="7" fillId="2" borderId="1" xfId="0" applyFont="1" applyFill="1" applyBorder="1" applyAlignment="1">
      <alignment horizontal="right"/>
    </xf>
    <xf numFmtId="0" fontId="7" fillId="0" borderId="0" xfId="0" applyFont="1" applyAlignment="1">
      <alignment horizontal="center"/>
    </xf>
    <xf numFmtId="0" fontId="6" fillId="0" borderId="0" xfId="0" applyFont="1"/>
    <xf numFmtId="0" fontId="11" fillId="3" borderId="1" xfId="0" applyFont="1" applyFill="1" applyBorder="1" applyAlignment="1">
      <alignment horizontal="right"/>
    </xf>
    <xf numFmtId="0" fontId="7" fillId="3" borderId="1" xfId="0" applyFont="1" applyFill="1" applyBorder="1" applyAlignment="1">
      <alignment horizontal="right"/>
    </xf>
    <xf numFmtId="0" fontId="11" fillId="4" borderId="1" xfId="0" applyFont="1" applyFill="1" applyBorder="1" applyAlignment="1">
      <alignment horizontal="right"/>
    </xf>
    <xf numFmtId="0" fontId="7" fillId="4" borderId="1" xfId="0" applyFont="1" applyFill="1" applyBorder="1" applyAlignment="1">
      <alignment horizontal="right"/>
    </xf>
    <xf numFmtId="0" fontId="7" fillId="0" borderId="5" xfId="0" applyFont="1" applyBorder="1" applyAlignment="1">
      <alignment horizontal="left"/>
    </xf>
    <xf numFmtId="0" fontId="0" fillId="0" borderId="1" xfId="0" applyBorder="1"/>
    <xf numFmtId="0" fontId="0" fillId="0" borderId="1" xfId="0" applyBorder="1" applyAlignment="1">
      <alignment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J27"/>
  <sheetViews>
    <sheetView topLeftCell="A7" zoomScaleNormal="100" workbookViewId="0">
      <selection activeCell="F24" sqref="F24"/>
    </sheetView>
  </sheetViews>
  <sheetFormatPr defaultColWidth="8.88671875" defaultRowHeight="14.4" x14ac:dyDescent="0.3"/>
  <cols>
    <col min="1" max="1" width="8.88671875" style="6" customWidth="1"/>
    <col min="2" max="2" width="12.21875" style="6" customWidth="1"/>
    <col min="3" max="3" width="16.21875" style="6" customWidth="1"/>
    <col min="4" max="4" width="32.77734375" style="6" bestFit="1" customWidth="1"/>
    <col min="5" max="5" width="41.44140625" style="6" customWidth="1"/>
    <col min="6" max="8" width="8.88671875" style="6" customWidth="1"/>
    <col min="9" max="9" width="21" style="6" customWidth="1"/>
    <col min="10" max="10" width="14.44140625" style="6" customWidth="1"/>
    <col min="11" max="11" width="8.88671875" style="6" customWidth="1"/>
    <col min="12" max="16384" width="8.88671875" style="6"/>
  </cols>
  <sheetData>
    <row r="1" spans="1:10" ht="15.45" customHeight="1" x14ac:dyDescent="0.3">
      <c r="A1" s="4"/>
      <c r="B1" s="5" t="s">
        <v>0</v>
      </c>
      <c r="H1" s="27" t="s">
        <v>1</v>
      </c>
      <c r="I1" s="28"/>
      <c r="J1" s="29"/>
    </row>
    <row r="2" spans="1:10" x14ac:dyDescent="0.3">
      <c r="B2" s="33" t="s">
        <v>2</v>
      </c>
      <c r="C2" s="34"/>
      <c r="D2" s="34"/>
      <c r="E2" s="34"/>
      <c r="H2" s="3"/>
      <c r="I2" s="18" t="s">
        <v>3</v>
      </c>
      <c r="J2" s="16" t="s">
        <v>4</v>
      </c>
    </row>
    <row r="3" spans="1:10" x14ac:dyDescent="0.3">
      <c r="H3" s="16" t="s">
        <v>5</v>
      </c>
      <c r="I3" s="26" t="s">
        <v>83</v>
      </c>
      <c r="J3" s="16">
        <v>234</v>
      </c>
    </row>
    <row r="4" spans="1:10" x14ac:dyDescent="0.3">
      <c r="C4" s="13" t="s">
        <v>6</v>
      </c>
      <c r="D4" s="32" t="s">
        <v>7</v>
      </c>
      <c r="E4" s="29"/>
      <c r="H4" s="16" t="s">
        <v>8</v>
      </c>
      <c r="I4" s="26" t="s">
        <v>86</v>
      </c>
      <c r="J4" s="3">
        <v>234</v>
      </c>
    </row>
    <row r="5" spans="1:10" x14ac:dyDescent="0.3">
      <c r="C5" s="13" t="s">
        <v>9</v>
      </c>
      <c r="D5" s="31" t="s">
        <v>83</v>
      </c>
      <c r="E5" s="29"/>
      <c r="H5" s="16" t="s">
        <v>10</v>
      </c>
      <c r="I5" s="26" t="s">
        <v>85</v>
      </c>
      <c r="J5" s="3">
        <v>234</v>
      </c>
    </row>
    <row r="6" spans="1:10" x14ac:dyDescent="0.3">
      <c r="B6" s="8"/>
      <c r="C6" s="9" t="s">
        <v>11</v>
      </c>
      <c r="D6" s="30" t="s">
        <v>12</v>
      </c>
      <c r="E6" s="29"/>
    </row>
    <row r="7" spans="1:10" x14ac:dyDescent="0.3">
      <c r="C7" s="9" t="s">
        <v>13</v>
      </c>
      <c r="D7" s="30" t="s">
        <v>14</v>
      </c>
      <c r="E7" s="29"/>
    </row>
    <row r="9" spans="1:10" x14ac:dyDescent="0.3">
      <c r="B9" s="10" t="s">
        <v>15</v>
      </c>
    </row>
    <row r="10" spans="1:10" ht="86.4" x14ac:dyDescent="0.3">
      <c r="B10" s="3">
        <v>1</v>
      </c>
      <c r="C10" s="22" t="s">
        <v>16</v>
      </c>
      <c r="D10" s="22" t="s">
        <v>17</v>
      </c>
      <c r="E10" s="23" t="s">
        <v>18</v>
      </c>
      <c r="G10" s="21"/>
    </row>
    <row r="11" spans="1:10" ht="72" x14ac:dyDescent="0.3">
      <c r="B11" s="3">
        <f t="shared" ref="B11:B25" si="0">B10+1</f>
        <v>2</v>
      </c>
      <c r="C11" s="1" t="s">
        <v>19</v>
      </c>
      <c r="D11" s="1" t="s">
        <v>20</v>
      </c>
      <c r="E11" s="2" t="s">
        <v>21</v>
      </c>
    </row>
    <row r="12" spans="1:10" ht="72" x14ac:dyDescent="0.3">
      <c r="B12" s="3">
        <f t="shared" si="0"/>
        <v>3</v>
      </c>
      <c r="C12" s="1" t="s">
        <v>22</v>
      </c>
      <c r="D12" s="1" t="s">
        <v>23</v>
      </c>
      <c r="E12" s="2" t="s">
        <v>24</v>
      </c>
    </row>
    <row r="13" spans="1:10" ht="72" x14ac:dyDescent="0.3">
      <c r="B13" s="3">
        <f t="shared" si="0"/>
        <v>4</v>
      </c>
      <c r="C13" s="1" t="s">
        <v>25</v>
      </c>
      <c r="D13" s="1" t="s">
        <v>20</v>
      </c>
      <c r="E13" s="2" t="s">
        <v>26</v>
      </c>
    </row>
    <row r="14" spans="1:10" ht="28.8" x14ac:dyDescent="0.3">
      <c r="B14" s="3">
        <f t="shared" si="0"/>
        <v>5</v>
      </c>
      <c r="C14" s="1" t="s">
        <v>16</v>
      </c>
      <c r="D14" s="1" t="s">
        <v>87</v>
      </c>
      <c r="E14" s="2" t="s">
        <v>88</v>
      </c>
    </row>
    <row r="15" spans="1:10" ht="43.2" x14ac:dyDescent="0.3">
      <c r="B15" s="3">
        <f t="shared" si="0"/>
        <v>6</v>
      </c>
      <c r="C15" s="1" t="s">
        <v>89</v>
      </c>
      <c r="D15" s="1" t="s">
        <v>20</v>
      </c>
      <c r="E15" s="2" t="s">
        <v>90</v>
      </c>
    </row>
    <row r="16" spans="1:10" ht="43.2" x14ac:dyDescent="0.3">
      <c r="B16" s="3">
        <f t="shared" si="0"/>
        <v>7</v>
      </c>
      <c r="C16" s="1" t="s">
        <v>89</v>
      </c>
      <c r="D16" s="1" t="s">
        <v>20</v>
      </c>
      <c r="E16" s="2" t="s">
        <v>91</v>
      </c>
    </row>
    <row r="17" spans="2:5" ht="43.2" x14ac:dyDescent="0.3">
      <c r="B17" s="3">
        <f t="shared" si="0"/>
        <v>8</v>
      </c>
      <c r="C17" s="1" t="s">
        <v>19</v>
      </c>
      <c r="D17" s="1" t="s">
        <v>92</v>
      </c>
      <c r="E17" s="2" t="s">
        <v>93</v>
      </c>
    </row>
    <row r="18" spans="2:5" x14ac:dyDescent="0.3">
      <c r="B18" s="3">
        <f t="shared" si="0"/>
        <v>9</v>
      </c>
      <c r="C18" s="3"/>
      <c r="D18" s="3"/>
      <c r="E18" s="14"/>
    </row>
    <row r="19" spans="2:5" x14ac:dyDescent="0.3">
      <c r="B19" s="3">
        <f t="shared" si="0"/>
        <v>10</v>
      </c>
      <c r="C19" s="3"/>
      <c r="D19" s="3"/>
      <c r="E19" s="14"/>
    </row>
    <row r="20" spans="2:5" x14ac:dyDescent="0.3">
      <c r="B20" s="3">
        <f t="shared" si="0"/>
        <v>11</v>
      </c>
      <c r="C20" s="3"/>
      <c r="D20" s="3"/>
      <c r="E20" s="14"/>
    </row>
    <row r="21" spans="2:5" x14ac:dyDescent="0.3">
      <c r="B21" s="3">
        <f t="shared" si="0"/>
        <v>12</v>
      </c>
      <c r="C21" s="3"/>
      <c r="D21" s="3"/>
      <c r="E21" s="14"/>
    </row>
    <row r="22" spans="2:5" x14ac:dyDescent="0.3">
      <c r="B22" s="3">
        <f t="shared" si="0"/>
        <v>13</v>
      </c>
      <c r="C22" s="3"/>
      <c r="D22" s="3"/>
      <c r="E22" s="14"/>
    </row>
    <row r="23" spans="2:5" x14ac:dyDescent="0.3">
      <c r="B23" s="3">
        <f t="shared" si="0"/>
        <v>14</v>
      </c>
      <c r="C23" s="3"/>
      <c r="D23" s="3"/>
      <c r="E23" s="14"/>
    </row>
    <row r="24" spans="2:5" x14ac:dyDescent="0.3">
      <c r="B24" s="3">
        <f t="shared" si="0"/>
        <v>15</v>
      </c>
      <c r="C24" s="3"/>
      <c r="D24" s="3"/>
      <c r="E24" s="14"/>
    </row>
    <row r="25" spans="2:5" x14ac:dyDescent="0.3">
      <c r="B25" s="3">
        <f t="shared" si="0"/>
        <v>16</v>
      </c>
      <c r="C25" s="3"/>
      <c r="D25" s="3"/>
      <c r="E25" s="14"/>
    </row>
    <row r="26" spans="2:5" x14ac:dyDescent="0.3">
      <c r="D26"/>
    </row>
    <row r="27" spans="2:5" x14ac:dyDescent="0.3">
      <c r="C27" s="11" t="s">
        <v>28</v>
      </c>
      <c r="D27" s="12"/>
      <c r="E27" s="1" t="s">
        <v>27</v>
      </c>
    </row>
  </sheetData>
  <mergeCells count="6">
    <mergeCell ref="H1:J1"/>
    <mergeCell ref="D6:E6"/>
    <mergeCell ref="D7:E7"/>
    <mergeCell ref="D5:E5"/>
    <mergeCell ref="D4:E4"/>
    <mergeCell ref="B2:E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J28"/>
  <sheetViews>
    <sheetView tabSelected="1" topLeftCell="B9" zoomScale="115" zoomScaleNormal="115" workbookViewId="0">
      <selection activeCell="D13" sqref="D13"/>
    </sheetView>
  </sheetViews>
  <sheetFormatPr defaultColWidth="8.88671875" defaultRowHeight="14.4" x14ac:dyDescent="0.3"/>
  <cols>
    <col min="1" max="1" width="8.88671875" style="6" customWidth="1"/>
    <col min="2" max="2" width="12.21875" style="6" customWidth="1"/>
    <col min="3" max="3" width="16.21875" style="6" customWidth="1"/>
    <col min="4" max="4" width="73.109375" style="6" bestFit="1" customWidth="1"/>
    <col min="5" max="5" width="41.44140625" style="6" customWidth="1"/>
    <col min="6" max="8" width="8.88671875" style="6" customWidth="1"/>
    <col min="9" max="9" width="22.109375" style="6" customWidth="1"/>
    <col min="10" max="10" width="8.88671875" style="6" customWidth="1"/>
    <col min="11" max="16384" width="8.88671875" style="6"/>
  </cols>
  <sheetData>
    <row r="1" spans="1:10" ht="15.45" customHeight="1" x14ac:dyDescent="0.3">
      <c r="A1" s="4"/>
      <c r="B1" s="5" t="s">
        <v>0</v>
      </c>
      <c r="H1" s="27" t="s">
        <v>1</v>
      </c>
      <c r="I1" s="28"/>
      <c r="J1" s="29"/>
    </row>
    <row r="2" spans="1:10" x14ac:dyDescent="0.3">
      <c r="B2" s="33" t="s">
        <v>29</v>
      </c>
      <c r="C2" s="34"/>
      <c r="D2" s="34"/>
      <c r="E2" s="34"/>
      <c r="H2" s="3"/>
      <c r="I2" s="18" t="s">
        <v>3</v>
      </c>
      <c r="J2" s="16" t="s">
        <v>4</v>
      </c>
    </row>
    <row r="3" spans="1:10" x14ac:dyDescent="0.3">
      <c r="H3" s="16" t="s">
        <v>5</v>
      </c>
      <c r="I3" s="26" t="s">
        <v>85</v>
      </c>
      <c r="J3" s="16">
        <v>234</v>
      </c>
    </row>
    <row r="4" spans="1:10" x14ac:dyDescent="0.3">
      <c r="C4" s="7" t="s">
        <v>6</v>
      </c>
      <c r="D4" s="36" t="s">
        <v>30</v>
      </c>
      <c r="E4" s="29"/>
      <c r="H4" s="16" t="s">
        <v>8</v>
      </c>
      <c r="I4" s="26" t="s">
        <v>84</v>
      </c>
      <c r="J4" s="3">
        <v>234</v>
      </c>
    </row>
    <row r="5" spans="1:10" x14ac:dyDescent="0.3">
      <c r="C5" s="7" t="s">
        <v>31</v>
      </c>
      <c r="D5" s="35" t="s">
        <v>83</v>
      </c>
      <c r="E5" s="29"/>
      <c r="H5" s="16" t="s">
        <v>10</v>
      </c>
      <c r="I5" s="26" t="s">
        <v>83</v>
      </c>
      <c r="J5" s="3">
        <v>234</v>
      </c>
    </row>
    <row r="6" spans="1:10" x14ac:dyDescent="0.3">
      <c r="B6" s="8"/>
      <c r="C6" s="9" t="s">
        <v>11</v>
      </c>
      <c r="D6" s="30" t="s">
        <v>12</v>
      </c>
      <c r="E6" s="29"/>
    </row>
    <row r="7" spans="1:10" x14ac:dyDescent="0.3">
      <c r="C7" s="9" t="s">
        <v>13</v>
      </c>
      <c r="D7" s="30" t="s">
        <v>14</v>
      </c>
      <c r="E7" s="29"/>
    </row>
    <row r="9" spans="1:10" x14ac:dyDescent="0.3">
      <c r="B9" s="10" t="s">
        <v>15</v>
      </c>
      <c r="C9" s="3"/>
      <c r="D9" s="3"/>
      <c r="E9" s="3"/>
    </row>
    <row r="10" spans="1:10" ht="72" x14ac:dyDescent="0.3">
      <c r="B10" s="3">
        <v>1</v>
      </c>
      <c r="C10" s="43" t="s">
        <v>32</v>
      </c>
      <c r="D10" s="43" t="s">
        <v>94</v>
      </c>
      <c r="E10" s="42" t="s">
        <v>33</v>
      </c>
    </row>
    <row r="11" spans="1:10" ht="72" x14ac:dyDescent="0.3">
      <c r="B11" s="3">
        <f t="shared" ref="B11:B26" si="0">B10+1</f>
        <v>2</v>
      </c>
      <c r="C11" s="1" t="s">
        <v>34</v>
      </c>
      <c r="D11" s="2" t="s">
        <v>95</v>
      </c>
      <c r="E11" s="2" t="s">
        <v>35</v>
      </c>
    </row>
    <row r="12" spans="1:10" ht="57.6" x14ac:dyDescent="0.3">
      <c r="B12" s="3">
        <f t="shared" si="0"/>
        <v>3</v>
      </c>
      <c r="C12" s="1" t="s">
        <v>36</v>
      </c>
      <c r="D12" s="2" t="s">
        <v>95</v>
      </c>
      <c r="E12" s="2" t="s">
        <v>37</v>
      </c>
    </row>
    <row r="13" spans="1:10" ht="78.599999999999994" customHeight="1" x14ac:dyDescent="0.3">
      <c r="B13" s="3">
        <f t="shared" si="0"/>
        <v>4</v>
      </c>
      <c r="C13" s="1" t="s">
        <v>38</v>
      </c>
      <c r="D13" s="1" t="s">
        <v>96</v>
      </c>
      <c r="E13" s="2" t="s">
        <v>39</v>
      </c>
    </row>
    <row r="14" spans="1:10" ht="28.8" x14ac:dyDescent="0.3">
      <c r="B14" s="3">
        <f t="shared" si="0"/>
        <v>5</v>
      </c>
      <c r="C14" s="1" t="s">
        <v>40</v>
      </c>
      <c r="D14" s="1" t="s">
        <v>97</v>
      </c>
      <c r="E14" s="2" t="s">
        <v>98</v>
      </c>
    </row>
    <row r="15" spans="1:10" x14ac:dyDescent="0.3">
      <c r="B15" s="3">
        <f t="shared" si="0"/>
        <v>6</v>
      </c>
      <c r="C15" s="1" t="s">
        <v>99</v>
      </c>
      <c r="D15" s="1" t="s">
        <v>100</v>
      </c>
      <c r="E15" s="2" t="s">
        <v>101</v>
      </c>
    </row>
    <row r="16" spans="1:10" x14ac:dyDescent="0.3">
      <c r="B16" s="3">
        <f t="shared" si="0"/>
        <v>7</v>
      </c>
      <c r="C16" s="1"/>
      <c r="D16" s="2"/>
      <c r="E16" s="2"/>
    </row>
    <row r="17" spans="2:5" x14ac:dyDescent="0.3">
      <c r="B17" s="3">
        <f t="shared" si="0"/>
        <v>8</v>
      </c>
      <c r="C17" s="1"/>
      <c r="D17" s="2"/>
      <c r="E17" s="2"/>
    </row>
    <row r="18" spans="2:5" x14ac:dyDescent="0.3">
      <c r="B18" s="3">
        <f t="shared" si="0"/>
        <v>9</v>
      </c>
      <c r="C18" s="1"/>
      <c r="D18" s="1"/>
      <c r="E18" s="2"/>
    </row>
    <row r="19" spans="2:5" x14ac:dyDescent="0.3">
      <c r="B19" s="3">
        <f t="shared" si="0"/>
        <v>10</v>
      </c>
      <c r="C19" s="1"/>
      <c r="D19" s="2"/>
      <c r="E19" s="2"/>
    </row>
    <row r="20" spans="2:5" x14ac:dyDescent="0.3">
      <c r="B20" s="3">
        <f t="shared" si="0"/>
        <v>11</v>
      </c>
      <c r="C20" s="1"/>
      <c r="D20" s="1"/>
      <c r="E20" s="2"/>
    </row>
    <row r="21" spans="2:5" x14ac:dyDescent="0.3">
      <c r="B21" s="3">
        <f t="shared" si="0"/>
        <v>12</v>
      </c>
      <c r="C21" s="1"/>
      <c r="D21" s="1"/>
      <c r="E21" s="2"/>
    </row>
    <row r="22" spans="2:5" x14ac:dyDescent="0.3">
      <c r="B22" s="3">
        <f t="shared" si="0"/>
        <v>13</v>
      </c>
      <c r="C22" s="1"/>
      <c r="D22" s="1"/>
      <c r="E22" s="2"/>
    </row>
    <row r="23" spans="2:5" x14ac:dyDescent="0.3">
      <c r="B23" s="3">
        <f t="shared" si="0"/>
        <v>14</v>
      </c>
      <c r="C23" s="1"/>
      <c r="D23" s="1"/>
      <c r="E23" s="2"/>
    </row>
    <row r="24" spans="2:5" x14ac:dyDescent="0.3">
      <c r="B24" s="3">
        <f t="shared" si="0"/>
        <v>15</v>
      </c>
      <c r="C24" s="1"/>
      <c r="D24" s="1"/>
      <c r="E24" s="2"/>
    </row>
    <row r="25" spans="2:5" x14ac:dyDescent="0.3">
      <c r="B25" s="3">
        <f t="shared" si="0"/>
        <v>16</v>
      </c>
      <c r="C25" s="1"/>
      <c r="D25" s="1"/>
      <c r="E25" s="2"/>
    </row>
    <row r="26" spans="2:5" x14ac:dyDescent="0.3">
      <c r="B26" s="3">
        <f t="shared" si="0"/>
        <v>17</v>
      </c>
      <c r="C26" s="1"/>
      <c r="D26" s="1"/>
      <c r="E26" s="2"/>
    </row>
    <row r="27" spans="2:5" x14ac:dyDescent="0.3">
      <c r="D27"/>
    </row>
    <row r="28" spans="2:5" x14ac:dyDescent="0.3">
      <c r="C28" s="11" t="s">
        <v>28</v>
      </c>
      <c r="D28" s="12"/>
      <c r="E28" s="1" t="s">
        <v>27</v>
      </c>
    </row>
  </sheetData>
  <mergeCells count="6">
    <mergeCell ref="H1:J1"/>
    <mergeCell ref="D6:E6"/>
    <mergeCell ref="D7:E7"/>
    <mergeCell ref="D5:E5"/>
    <mergeCell ref="D4:E4"/>
    <mergeCell ref="B2:E2"/>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J32"/>
  <sheetViews>
    <sheetView zoomScale="137" workbookViewId="0">
      <selection activeCell="E10" sqref="E10"/>
    </sheetView>
  </sheetViews>
  <sheetFormatPr defaultColWidth="8.88671875" defaultRowHeight="14.4" x14ac:dyDescent="0.3"/>
  <cols>
    <col min="1" max="1" width="8.88671875" style="6" customWidth="1"/>
    <col min="2" max="2" width="12.21875" style="6" customWidth="1"/>
    <col min="3" max="3" width="16.21875" style="6" customWidth="1"/>
    <col min="4" max="4" width="30" style="6" bestFit="1" customWidth="1"/>
    <col min="5" max="5" width="41.44140625" style="6" customWidth="1"/>
    <col min="6" max="8" width="8.88671875" style="6" customWidth="1"/>
    <col min="9" max="9" width="26.77734375" style="6" customWidth="1"/>
    <col min="10" max="10" width="8.88671875" style="6" customWidth="1"/>
    <col min="11" max="16384" width="8.88671875" style="6"/>
  </cols>
  <sheetData>
    <row r="1" spans="1:10" ht="15.45" customHeight="1" x14ac:dyDescent="0.3">
      <c r="A1" s="4"/>
      <c r="B1" s="5" t="s">
        <v>0</v>
      </c>
      <c r="H1" s="27" t="s">
        <v>1</v>
      </c>
      <c r="I1" s="28"/>
      <c r="J1" s="29"/>
    </row>
    <row r="2" spans="1:10" x14ac:dyDescent="0.3">
      <c r="B2" s="33" t="s">
        <v>41</v>
      </c>
      <c r="C2" s="34"/>
      <c r="D2" s="34"/>
      <c r="E2" s="34"/>
      <c r="H2" s="3"/>
      <c r="I2" s="18" t="s">
        <v>3</v>
      </c>
      <c r="J2" s="16" t="s">
        <v>4</v>
      </c>
    </row>
    <row r="3" spans="1:10" x14ac:dyDescent="0.3">
      <c r="H3" s="16" t="s">
        <v>5</v>
      </c>
      <c r="I3" s="26" t="s">
        <v>86</v>
      </c>
      <c r="J3" s="16">
        <v>234</v>
      </c>
    </row>
    <row r="4" spans="1:10" x14ac:dyDescent="0.3">
      <c r="C4" s="15" t="s">
        <v>6</v>
      </c>
      <c r="D4" s="38" t="s">
        <v>42</v>
      </c>
      <c r="E4" s="29"/>
      <c r="H4" s="16" t="s">
        <v>8</v>
      </c>
      <c r="I4" s="26" t="s">
        <v>85</v>
      </c>
      <c r="J4" s="3">
        <v>234</v>
      </c>
    </row>
    <row r="5" spans="1:10" x14ac:dyDescent="0.3">
      <c r="C5" s="15" t="s">
        <v>9</v>
      </c>
      <c r="D5" s="37" t="s">
        <v>83</v>
      </c>
      <c r="E5" s="29"/>
      <c r="H5" s="16" t="s">
        <v>10</v>
      </c>
      <c r="I5" s="26" t="s">
        <v>83</v>
      </c>
      <c r="J5" s="3">
        <v>234</v>
      </c>
    </row>
    <row r="6" spans="1:10" x14ac:dyDescent="0.3">
      <c r="B6" s="8"/>
      <c r="C6" s="9" t="s">
        <v>11</v>
      </c>
      <c r="D6" s="30" t="s">
        <v>12</v>
      </c>
      <c r="E6" s="29"/>
    </row>
    <row r="7" spans="1:10" x14ac:dyDescent="0.3">
      <c r="C7" s="9" t="s">
        <v>13</v>
      </c>
      <c r="D7" s="30" t="s">
        <v>14</v>
      </c>
      <c r="E7" s="29"/>
    </row>
    <row r="9" spans="1:10" x14ac:dyDescent="0.3">
      <c r="B9" s="10" t="s">
        <v>15</v>
      </c>
      <c r="C9" s="3"/>
      <c r="D9" s="3"/>
      <c r="E9" s="3"/>
    </row>
    <row r="10" spans="1:10" ht="72" x14ac:dyDescent="0.3">
      <c r="B10" s="3">
        <v>1</v>
      </c>
      <c r="C10" s="42" t="s">
        <v>43</v>
      </c>
      <c r="D10" s="42" t="s">
        <v>44</v>
      </c>
      <c r="E10" s="42" t="s">
        <v>45</v>
      </c>
    </row>
    <row r="11" spans="1:10" ht="72" x14ac:dyDescent="0.3">
      <c r="B11" s="3">
        <f t="shared" ref="B11:B30" si="0">B10+1</f>
        <v>2</v>
      </c>
      <c r="C11" s="1" t="s">
        <v>46</v>
      </c>
      <c r="D11" s="2" t="s">
        <v>47</v>
      </c>
      <c r="E11" s="2" t="s">
        <v>48</v>
      </c>
    </row>
    <row r="12" spans="1:10" ht="72" x14ac:dyDescent="0.3">
      <c r="B12" s="3">
        <f t="shared" si="0"/>
        <v>3</v>
      </c>
      <c r="C12" s="1" t="s">
        <v>49</v>
      </c>
      <c r="D12" s="1" t="s">
        <v>50</v>
      </c>
      <c r="E12" s="2" t="s">
        <v>51</v>
      </c>
    </row>
    <row r="13" spans="1:10" ht="57.6" x14ac:dyDescent="0.3">
      <c r="B13" s="3">
        <f t="shared" si="0"/>
        <v>4</v>
      </c>
      <c r="C13" s="1" t="s">
        <v>52</v>
      </c>
      <c r="D13" s="1" t="s">
        <v>53</v>
      </c>
      <c r="E13" s="2" t="s">
        <v>54</v>
      </c>
    </row>
    <row r="14" spans="1:10" ht="72" x14ac:dyDescent="0.3">
      <c r="B14" s="3">
        <f t="shared" si="0"/>
        <v>5</v>
      </c>
      <c r="C14" s="1" t="s">
        <v>55</v>
      </c>
      <c r="D14" s="2" t="s">
        <v>56</v>
      </c>
      <c r="E14" s="2" t="s">
        <v>57</v>
      </c>
    </row>
    <row r="15" spans="1:10" x14ac:dyDescent="0.3">
      <c r="B15" s="3">
        <f t="shared" si="0"/>
        <v>6</v>
      </c>
      <c r="C15" s="1"/>
      <c r="D15" s="2"/>
      <c r="E15" s="2"/>
    </row>
    <row r="16" spans="1:10" x14ac:dyDescent="0.3">
      <c r="B16" s="3">
        <f t="shared" si="0"/>
        <v>7</v>
      </c>
      <c r="C16" s="1"/>
      <c r="D16" s="2"/>
      <c r="E16" s="2"/>
    </row>
    <row r="17" spans="2:5" x14ac:dyDescent="0.3">
      <c r="B17" s="3">
        <f t="shared" si="0"/>
        <v>8</v>
      </c>
      <c r="C17" s="1"/>
      <c r="D17" s="2"/>
      <c r="E17" s="2"/>
    </row>
    <row r="18" spans="2:5" x14ac:dyDescent="0.3">
      <c r="B18" s="3">
        <f t="shared" si="0"/>
        <v>9</v>
      </c>
      <c r="C18" s="1"/>
      <c r="D18" s="2"/>
      <c r="E18" s="2"/>
    </row>
    <row r="19" spans="2:5" x14ac:dyDescent="0.3">
      <c r="B19" s="3">
        <f t="shared" si="0"/>
        <v>10</v>
      </c>
      <c r="C19" s="1"/>
      <c r="D19" s="1"/>
      <c r="E19" s="2"/>
    </row>
    <row r="20" spans="2:5" x14ac:dyDescent="0.3">
      <c r="B20" s="3">
        <f t="shared" si="0"/>
        <v>11</v>
      </c>
      <c r="C20" s="1"/>
      <c r="D20" s="2"/>
      <c r="E20" s="2"/>
    </row>
    <row r="21" spans="2:5" x14ac:dyDescent="0.3">
      <c r="B21" s="3">
        <f t="shared" si="0"/>
        <v>12</v>
      </c>
      <c r="C21" s="1"/>
      <c r="D21" s="1"/>
      <c r="E21" s="2"/>
    </row>
    <row r="22" spans="2:5" x14ac:dyDescent="0.3">
      <c r="B22" s="3">
        <f t="shared" si="0"/>
        <v>13</v>
      </c>
      <c r="C22" s="1"/>
      <c r="D22" s="2"/>
      <c r="E22" s="2"/>
    </row>
    <row r="23" spans="2:5" x14ac:dyDescent="0.3">
      <c r="B23" s="3">
        <f t="shared" si="0"/>
        <v>14</v>
      </c>
      <c r="C23" s="1"/>
      <c r="D23" s="2"/>
      <c r="E23" s="2"/>
    </row>
    <row r="24" spans="2:5" x14ac:dyDescent="0.3">
      <c r="B24" s="3">
        <f t="shared" si="0"/>
        <v>15</v>
      </c>
      <c r="C24" s="1"/>
      <c r="D24" s="2"/>
      <c r="E24" s="2"/>
    </row>
    <row r="25" spans="2:5" x14ac:dyDescent="0.3">
      <c r="B25" s="3">
        <f t="shared" si="0"/>
        <v>16</v>
      </c>
      <c r="C25" s="1"/>
      <c r="D25" s="2"/>
      <c r="E25" s="2"/>
    </row>
    <row r="26" spans="2:5" x14ac:dyDescent="0.3">
      <c r="B26" s="3">
        <f t="shared" si="0"/>
        <v>17</v>
      </c>
      <c r="C26" s="1"/>
      <c r="D26" s="1"/>
      <c r="E26" s="2"/>
    </row>
    <row r="27" spans="2:5" x14ac:dyDescent="0.3">
      <c r="B27" s="3">
        <f t="shared" si="0"/>
        <v>18</v>
      </c>
      <c r="C27" s="1"/>
      <c r="D27" s="2"/>
      <c r="E27" s="1"/>
    </row>
    <row r="28" spans="2:5" x14ac:dyDescent="0.3">
      <c r="B28" s="3">
        <f t="shared" si="0"/>
        <v>19</v>
      </c>
      <c r="C28" s="1"/>
      <c r="D28" s="2"/>
      <c r="E28" s="2"/>
    </row>
    <row r="29" spans="2:5" x14ac:dyDescent="0.3">
      <c r="B29" s="3">
        <f t="shared" si="0"/>
        <v>20</v>
      </c>
      <c r="C29" s="1"/>
      <c r="D29" s="2"/>
      <c r="E29" s="2"/>
    </row>
    <row r="30" spans="2:5" x14ac:dyDescent="0.3">
      <c r="B30" s="3">
        <f t="shared" si="0"/>
        <v>21</v>
      </c>
      <c r="C30" s="1"/>
      <c r="D30" s="2"/>
      <c r="E30" s="2"/>
    </row>
    <row r="31" spans="2:5" x14ac:dyDescent="0.3">
      <c r="D31" t="s">
        <v>27</v>
      </c>
    </row>
    <row r="32" spans="2:5" x14ac:dyDescent="0.3">
      <c r="C32" s="11" t="s">
        <v>28</v>
      </c>
      <c r="D32" s="12"/>
      <c r="E32" s="1"/>
    </row>
  </sheetData>
  <mergeCells count="6">
    <mergeCell ref="H1:J1"/>
    <mergeCell ref="D6:E6"/>
    <mergeCell ref="D7:E7"/>
    <mergeCell ref="D5:E5"/>
    <mergeCell ref="D4:E4"/>
    <mergeCell ref="B2:E2"/>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79998168889431442"/>
  </sheetPr>
  <dimension ref="A1:J35"/>
  <sheetViews>
    <sheetView zoomScale="104" workbookViewId="0">
      <selection activeCell="C11" sqref="C11"/>
    </sheetView>
  </sheetViews>
  <sheetFormatPr defaultColWidth="8.88671875" defaultRowHeight="14.4" x14ac:dyDescent="0.3"/>
  <cols>
    <col min="1" max="1" width="8.88671875" style="6" customWidth="1"/>
    <col min="2" max="2" width="12.21875" style="6" customWidth="1"/>
    <col min="3" max="3" width="37.44140625" style="6" customWidth="1"/>
    <col min="4" max="4" width="37.5546875" style="6" customWidth="1"/>
    <col min="5" max="5" width="36.21875" style="6" customWidth="1"/>
    <col min="6" max="6" width="48.6640625" style="6" customWidth="1"/>
    <col min="7" max="8" width="8.88671875" style="6" customWidth="1"/>
    <col min="9" max="9" width="26.77734375" style="6" customWidth="1"/>
    <col min="10" max="10" width="8.88671875" style="6" customWidth="1"/>
    <col min="11" max="16384" width="8.88671875" style="6"/>
  </cols>
  <sheetData>
    <row r="1" spans="1:10" ht="15.45" customHeight="1" x14ac:dyDescent="0.3">
      <c r="A1" s="4"/>
      <c r="B1" s="5" t="s">
        <v>0</v>
      </c>
      <c r="H1" s="27" t="s">
        <v>1</v>
      </c>
      <c r="I1" s="28"/>
      <c r="J1" s="29"/>
    </row>
    <row r="2" spans="1:10" x14ac:dyDescent="0.3">
      <c r="B2" s="33" t="s">
        <v>58</v>
      </c>
      <c r="C2" s="34"/>
      <c r="D2" s="34"/>
      <c r="E2" s="34"/>
      <c r="H2" s="3"/>
      <c r="I2" s="18" t="s">
        <v>3</v>
      </c>
      <c r="J2" s="16" t="s">
        <v>4</v>
      </c>
    </row>
    <row r="3" spans="1:10" x14ac:dyDescent="0.3">
      <c r="H3" s="16" t="s">
        <v>5</v>
      </c>
      <c r="I3" s="26" t="s">
        <v>85</v>
      </c>
      <c r="J3" s="16">
        <v>234</v>
      </c>
    </row>
    <row r="4" spans="1:10" x14ac:dyDescent="0.3">
      <c r="C4" s="15" t="s">
        <v>59</v>
      </c>
      <c r="D4" s="38" t="s">
        <v>60</v>
      </c>
      <c r="E4" s="29"/>
      <c r="H4" s="16" t="s">
        <v>8</v>
      </c>
      <c r="I4" s="26" t="s">
        <v>86</v>
      </c>
      <c r="J4" s="3">
        <v>234</v>
      </c>
    </row>
    <row r="5" spans="1:10" x14ac:dyDescent="0.3">
      <c r="C5" s="9" t="s">
        <v>11</v>
      </c>
      <c r="D5" s="30" t="s">
        <v>12</v>
      </c>
      <c r="E5" s="29"/>
      <c r="H5" s="16" t="s">
        <v>10</v>
      </c>
      <c r="I5" s="26" t="s">
        <v>83</v>
      </c>
      <c r="J5" s="3">
        <v>234</v>
      </c>
    </row>
    <row r="6" spans="1:10" x14ac:dyDescent="0.3">
      <c r="B6" s="8"/>
      <c r="C6" s="9" t="s">
        <v>13</v>
      </c>
      <c r="D6" s="30" t="s">
        <v>14</v>
      </c>
      <c r="E6" s="29"/>
      <c r="F6" s="19"/>
    </row>
    <row r="9" spans="1:10" x14ac:dyDescent="0.3">
      <c r="B9" s="10" t="s">
        <v>15</v>
      </c>
      <c r="C9" s="3"/>
      <c r="D9" s="3"/>
      <c r="E9" s="3"/>
      <c r="F9" s="3"/>
    </row>
    <row r="10" spans="1:10" ht="43.2" x14ac:dyDescent="0.3">
      <c r="B10" s="3">
        <v>1</v>
      </c>
      <c r="C10" s="40" t="s">
        <v>61</v>
      </c>
      <c r="D10" s="41" t="s">
        <v>62</v>
      </c>
      <c r="E10" s="41" t="s">
        <v>63</v>
      </c>
      <c r="F10" s="41" t="s">
        <v>64</v>
      </c>
    </row>
    <row r="11" spans="1:10" ht="43.2" x14ac:dyDescent="0.3">
      <c r="B11" s="3">
        <f t="shared" ref="B11:B30" si="0">B10+1</f>
        <v>2</v>
      </c>
      <c r="C11" s="42" t="s">
        <v>65</v>
      </c>
      <c r="D11" s="42" t="s">
        <v>66</v>
      </c>
      <c r="E11" s="42" t="s">
        <v>67</v>
      </c>
      <c r="F11" s="42" t="s">
        <v>68</v>
      </c>
    </row>
    <row r="12" spans="1:10" ht="28.8" x14ac:dyDescent="0.3">
      <c r="B12" s="3">
        <f t="shared" si="0"/>
        <v>3</v>
      </c>
      <c r="C12" s="24" t="s">
        <v>69</v>
      </c>
      <c r="D12" s="25" t="s">
        <v>70</v>
      </c>
      <c r="E12" s="25" t="s">
        <v>71</v>
      </c>
      <c r="F12" s="25" t="s">
        <v>72</v>
      </c>
    </row>
    <row r="13" spans="1:10" ht="28.8" x14ac:dyDescent="0.3">
      <c r="B13" s="3">
        <f t="shared" si="0"/>
        <v>4</v>
      </c>
      <c r="C13" s="24" t="s">
        <v>73</v>
      </c>
      <c r="D13" s="24" t="s">
        <v>74</v>
      </c>
      <c r="E13" s="25" t="s">
        <v>75</v>
      </c>
      <c r="F13" s="25" t="s">
        <v>76</v>
      </c>
    </row>
    <row r="14" spans="1:10" ht="28.8" x14ac:dyDescent="0.3">
      <c r="B14" s="3">
        <f t="shared" si="0"/>
        <v>5</v>
      </c>
      <c r="C14" s="24" t="s">
        <v>77</v>
      </c>
      <c r="D14" s="24" t="s">
        <v>78</v>
      </c>
      <c r="E14" s="25" t="s">
        <v>79</v>
      </c>
      <c r="F14" s="25" t="s">
        <v>80</v>
      </c>
    </row>
    <row r="15" spans="1:10" x14ac:dyDescent="0.3">
      <c r="B15" s="3">
        <f t="shared" si="0"/>
        <v>6</v>
      </c>
      <c r="C15" s="1"/>
      <c r="D15" s="2"/>
      <c r="E15" s="2"/>
      <c r="F15" s="2"/>
    </row>
    <row r="16" spans="1:10" x14ac:dyDescent="0.3">
      <c r="B16" s="3">
        <f t="shared" si="0"/>
        <v>7</v>
      </c>
      <c r="C16" s="1"/>
      <c r="D16" s="2"/>
      <c r="E16" s="2"/>
      <c r="F16" s="2"/>
    </row>
    <row r="17" spans="2:6" x14ac:dyDescent="0.3">
      <c r="B17" s="3">
        <f t="shared" si="0"/>
        <v>8</v>
      </c>
      <c r="C17" s="1"/>
      <c r="D17" s="2"/>
      <c r="E17" s="2"/>
      <c r="F17" s="2"/>
    </row>
    <row r="18" spans="2:6" x14ac:dyDescent="0.3">
      <c r="B18" s="3">
        <f t="shared" si="0"/>
        <v>9</v>
      </c>
      <c r="C18" s="1"/>
      <c r="D18" s="2"/>
      <c r="E18" s="2"/>
      <c r="F18" s="2"/>
    </row>
    <row r="19" spans="2:6" x14ac:dyDescent="0.3">
      <c r="B19" s="3">
        <f t="shared" si="0"/>
        <v>10</v>
      </c>
      <c r="C19" s="1"/>
      <c r="D19" s="1"/>
      <c r="E19" s="2"/>
      <c r="F19" s="2"/>
    </row>
    <row r="20" spans="2:6" x14ac:dyDescent="0.3">
      <c r="B20" s="3">
        <f t="shared" si="0"/>
        <v>11</v>
      </c>
      <c r="C20" s="1"/>
      <c r="D20" s="2"/>
      <c r="E20" s="2"/>
      <c r="F20" s="2"/>
    </row>
    <row r="21" spans="2:6" x14ac:dyDescent="0.3">
      <c r="B21" s="3">
        <f t="shared" si="0"/>
        <v>12</v>
      </c>
      <c r="C21" s="1"/>
      <c r="D21" s="1"/>
      <c r="E21" s="2"/>
      <c r="F21" s="2"/>
    </row>
    <row r="22" spans="2:6" x14ac:dyDescent="0.3">
      <c r="B22" s="3">
        <f t="shared" si="0"/>
        <v>13</v>
      </c>
      <c r="C22" s="1"/>
      <c r="D22" s="2"/>
      <c r="E22" s="2"/>
      <c r="F22" s="2"/>
    </row>
    <row r="23" spans="2:6" x14ac:dyDescent="0.3">
      <c r="B23" s="3">
        <f t="shared" si="0"/>
        <v>14</v>
      </c>
      <c r="C23" s="1"/>
      <c r="D23" s="2"/>
      <c r="E23" s="2"/>
      <c r="F23" s="2"/>
    </row>
    <row r="24" spans="2:6" x14ac:dyDescent="0.3">
      <c r="B24" s="3">
        <f t="shared" si="0"/>
        <v>15</v>
      </c>
      <c r="C24" s="1"/>
      <c r="D24" s="2"/>
      <c r="E24" s="2"/>
      <c r="F24" s="2"/>
    </row>
    <row r="25" spans="2:6" x14ac:dyDescent="0.3">
      <c r="B25" s="3">
        <f t="shared" si="0"/>
        <v>16</v>
      </c>
      <c r="C25" s="1"/>
      <c r="D25" s="2"/>
      <c r="E25" s="2"/>
      <c r="F25" s="2"/>
    </row>
    <row r="26" spans="2:6" x14ac:dyDescent="0.3">
      <c r="B26" s="3">
        <f t="shared" si="0"/>
        <v>17</v>
      </c>
      <c r="C26" s="1"/>
      <c r="D26" s="1"/>
      <c r="E26" s="2"/>
      <c r="F26" s="2"/>
    </row>
    <row r="27" spans="2:6" x14ac:dyDescent="0.3">
      <c r="B27" s="3">
        <f t="shared" si="0"/>
        <v>18</v>
      </c>
      <c r="C27" s="1"/>
      <c r="D27" s="2"/>
      <c r="E27" s="1"/>
      <c r="F27" s="1"/>
    </row>
    <row r="28" spans="2:6" x14ac:dyDescent="0.3">
      <c r="B28" s="3">
        <f t="shared" si="0"/>
        <v>19</v>
      </c>
      <c r="C28" s="1"/>
      <c r="D28" s="2"/>
      <c r="E28" s="2"/>
      <c r="F28" s="2"/>
    </row>
    <row r="29" spans="2:6" x14ac:dyDescent="0.3">
      <c r="B29" s="3">
        <f t="shared" si="0"/>
        <v>20</v>
      </c>
      <c r="C29" s="1"/>
      <c r="D29" s="2"/>
      <c r="E29" s="2"/>
      <c r="F29" s="2"/>
    </row>
    <row r="30" spans="2:6" x14ac:dyDescent="0.3">
      <c r="B30" s="3">
        <f t="shared" si="0"/>
        <v>21</v>
      </c>
      <c r="C30" s="1"/>
      <c r="D30" s="2"/>
      <c r="E30" s="2"/>
      <c r="F30" s="2"/>
    </row>
    <row r="32" spans="2:6" x14ac:dyDescent="0.3">
      <c r="C32" s="39" t="s">
        <v>81</v>
      </c>
      <c r="D32" s="34"/>
      <c r="E32" s="34"/>
      <c r="F32" s="17"/>
    </row>
    <row r="34" spans="4:6" x14ac:dyDescent="0.3">
      <c r="D34" t="s">
        <v>82</v>
      </c>
    </row>
    <row r="35" spans="4:6" x14ac:dyDescent="0.3">
      <c r="F35" s="20"/>
    </row>
  </sheetData>
  <mergeCells count="6">
    <mergeCell ref="C32:E32"/>
    <mergeCell ref="H1:J1"/>
    <mergeCell ref="D6:E6"/>
    <mergeCell ref="D5:E5"/>
    <mergeCell ref="D4:E4"/>
    <mergeCell ref="B2:E2"/>
  </mergeCells>
  <phoneticPr fontId="1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Requirements Phase Defects</vt:lpstr>
      <vt:lpstr>Architect. Design Phase Defects</vt:lpstr>
      <vt:lpstr>Coding Phase Defects</vt:lpstr>
      <vt:lpstr>Tool-basedCodeAnalysis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Andreea</dc:creator>
  <cp:lastModifiedBy>Alexandra Moroz</cp:lastModifiedBy>
  <dcterms:created xsi:type="dcterms:W3CDTF">2015-02-21T15:59:19Z</dcterms:created>
  <dcterms:modified xsi:type="dcterms:W3CDTF">2026-03-15T17:04:00Z</dcterms:modified>
</cp:coreProperties>
</file>