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C:\Users\negre\MyDrinkShop\docs\Lab01\"/>
    </mc:Choice>
  </mc:AlternateContent>
  <xr:revisionPtr revIDLastSave="0" documentId="13_ncr:1_{89567E27-6FC5-4B76-9816-C9E61DC4A70A}" xr6:coauthVersionLast="47" xr6:coauthVersionMax="47" xr10:uidLastSave="{00000000-0000-0000-0000-000000000000}"/>
  <bookViews>
    <workbookView xWindow="1536" yWindow="1536" windowWidth="23040" windowHeight="13560" tabRatio="650" xr2:uid="{00000000-000D-0000-FFFF-FFFF00000000}"/>
  </bookViews>
  <sheets>
    <sheet name="Requirements Phase Defects" sheetId="1" r:id="rId1"/>
    <sheet name="Architect. Design Phase Defects" sheetId="2" r:id="rId2"/>
    <sheet name="Coding Phase Defects" sheetId="3" r:id="rId3"/>
    <sheet name="Tool-basedCodeAnalysi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1" i="4" l="1"/>
  <c r="B12" i="4" s="1"/>
  <c r="B13" i="4" s="1"/>
  <c r="B14" i="4" s="1"/>
  <c r="B15" i="4" s="1"/>
  <c r="B16" i="4" s="1"/>
  <c r="B17" i="4" s="1"/>
  <c r="B18" i="4" s="1"/>
  <c r="B19" i="4" s="1"/>
  <c r="B20" i="4" s="1"/>
  <c r="B21" i="4" s="1"/>
  <c r="B22" i="4" s="1"/>
  <c r="B23" i="4" s="1"/>
  <c r="B24" i="4" s="1"/>
  <c r="B25" i="4" s="1"/>
  <c r="B26" i="4" s="1"/>
  <c r="B27" i="4" s="1"/>
  <c r="B28" i="4" s="1"/>
  <c r="B29" i="4" s="1"/>
  <c r="B30" i="4" s="1"/>
  <c r="B11" i="3"/>
  <c r="B12" i="3" s="1"/>
  <c r="B13" i="3" s="1"/>
  <c r="B14" i="3" s="1"/>
  <c r="B15" i="3" s="1"/>
  <c r="B16" i="3" s="1"/>
  <c r="B17" i="3" s="1"/>
  <c r="B18" i="3" s="1"/>
  <c r="B19" i="3" s="1"/>
  <c r="B20" i="3" s="1"/>
  <c r="B21" i="3" s="1"/>
  <c r="B22" i="3" s="1"/>
  <c r="B23" i="3" s="1"/>
  <c r="B24" i="3" s="1"/>
  <c r="B25" i="3" s="1"/>
  <c r="B26" i="3" s="1"/>
  <c r="B27" i="3" s="1"/>
  <c r="B28" i="3" s="1"/>
  <c r="B29" i="3" s="1"/>
  <c r="B30" i="3" s="1"/>
  <c r="B11" i="2"/>
  <c r="B12" i="2" s="1"/>
  <c r="B13" i="2" s="1"/>
  <c r="B14" i="2" s="1"/>
  <c r="B15" i="2" s="1"/>
  <c r="B16" i="2" s="1"/>
  <c r="B17" i="2" s="1"/>
  <c r="B18" i="2" s="1"/>
  <c r="B19" i="2" s="1"/>
  <c r="B20" i="2" s="1"/>
  <c r="B21" i="2" s="1"/>
  <c r="B22" i="2" s="1"/>
  <c r="B23" i="2" s="1"/>
  <c r="B24" i="2" s="1"/>
  <c r="B25" i="2" s="1"/>
  <c r="B26" i="2" s="1"/>
  <c r="B11" i="1"/>
  <c r="B12" i="1" s="1"/>
  <c r="B13" i="1" s="1"/>
  <c r="B14" i="1" s="1"/>
  <c r="B15" i="1" s="1"/>
  <c r="B16" i="1" s="1"/>
  <c r="B17" i="1" s="1"/>
  <c r="B18" i="1" s="1"/>
  <c r="B19" i="1" s="1"/>
  <c r="B20" i="1" s="1"/>
  <c r="B21" i="1" s="1"/>
  <c r="B22" i="1" s="1"/>
  <c r="B23" i="1" s="1"/>
  <c r="B24" i="1" s="1"/>
  <c r="B25" i="1" s="1"/>
</calcChain>
</file>

<file path=xl/sharedStrings.xml><?xml version="1.0" encoding="utf-8"?>
<sst xmlns="http://schemas.openxmlformats.org/spreadsheetml/2006/main" count="149" uniqueCount="93">
  <si>
    <t>do not print this form</t>
  </si>
  <si>
    <t>Echipa</t>
  </si>
  <si>
    <t>Review Form. Requirements Defects</t>
  </si>
  <si>
    <t>Numele si prenumele</t>
  </si>
  <si>
    <t>Grupa</t>
  </si>
  <si>
    <t>Student 1:</t>
  </si>
  <si>
    <t>Document  Title:</t>
  </si>
  <si>
    <t>Requirements Document</t>
  </si>
  <si>
    <t>Student 2:</t>
  </si>
  <si>
    <t>Author Name:</t>
  </si>
  <si>
    <t>Student 3:</t>
  </si>
  <si>
    <t>Reviewer Name:</t>
  </si>
  <si>
    <t>Echipa MyDrinkShop</t>
  </si>
  <si>
    <t xml:space="preserve">Review date: </t>
  </si>
  <si>
    <t>13.03.2026</t>
  </si>
  <si>
    <t>Crt. No.</t>
  </si>
  <si>
    <t>R01</t>
  </si>
  <si>
    <t>Requirements_v1.0.pdf, p.1, cerinta 3</t>
  </si>
  <si>
    <t>Cerinta 3 mentioneaza ca utilizatorul poate adauga/modifica/sterge tipuri si categorii de bauturi, dar operatiile nu sunt detaliate: nu se specifica campuri obligatorii, constrangeri sau comportament la stergere cand exista produse asociate.</t>
  </si>
  <si>
    <t>R02</t>
  </si>
  <si>
    <t>Requirements_v1.0.pdf, p.1</t>
  </si>
  <si>
    <t>Lipsesc cerinte functionale pentru gestionarea ingredientelor din perspectiva administratorului (CRUD ingrediente). Cerinta 5 mentioneaza doar afisarea cantitatii si actualizarea stocului, nu si adaugarea sau stergerea ingredientelor.</t>
  </si>
  <si>
    <t>R05</t>
  </si>
  <si>
    <t>Requirements_v1.0.pdf, p.1, cerinta 7</t>
  </si>
  <si>
    <t>Cerinta 7 afirma ca bonul de casa se salveaza in format .csv, dar un bon fiscal are un format text structurat. Formatul .csv este adecvat pentru export tabular (cerinta 8), nu pentru bon fiscal. Cele doua cerinte sunt confuze.</t>
  </si>
  <si>
    <t>R06</t>
  </si>
  <si>
    <t>Nu sunt definite rolurile utilizatorilor (administrator, operator/casier). Aplicatia nu mentioneaza daca exista autentificare sau mai multi utilizatori, informatii esentiale pentru o aplicatie de gestiune comerciala.</t>
  </si>
  <si>
    <t>0.5</t>
  </si>
  <si>
    <t>Effort to review document (hours):</t>
  </si>
  <si>
    <t>Review Form. Architectural Design Defects</t>
  </si>
  <si>
    <t>Architectural Design Document</t>
  </si>
  <si>
    <t xml:space="preserve">Author Name: </t>
  </si>
  <si>
    <t>A05</t>
  </si>
  <si>
    <t>Diagram_v1.0, toate clasele</t>
  </si>
  <si>
    <t>Nu exista o strategie coerenta de tratare a erorilor reflectata in diagrama. ValidationException exista in cod dar nu apare in diagrama, si nu este definit un mecanism centralizat de error handling la nivel arhitectural.</t>
  </si>
  <si>
    <t>A03</t>
  </si>
  <si>
    <t>Diagram_v1.0</t>
  </si>
  <si>
    <t>Diagrama nu include clase Repository pentru TipBautura si CategorieBautura, desi cerinta 3 specifica explicit CRUD pentru aceste entitati. Arhitectura nu acopera toate cerintele functionale.</t>
  </si>
  <si>
    <t>A06</t>
  </si>
  <si>
    <t>Nu sunt documentate pattern-uri de design clasice: Observer ar fi util pentru actualizarea UI la modificarea datelor; Factory ar putea fi folosit pentru crearea entitatilor din fisiere text.</t>
  </si>
  <si>
    <t>A07</t>
  </si>
  <si>
    <t>Diagram_v1.0, clasa DrinkShopService</t>
  </si>
  <si>
    <t>Clasa DrinkShopService functioneaza ca un Facade, dar rolul sau nu este explicit documentat in diagrama. Descrierea clasei nu mentioneaza responsabilitatea de coordonare a serviciilor.</t>
  </si>
  <si>
    <t>A09</t>
  </si>
  <si>
    <t>Diagram_v1.0, Order-OrderItem, Reteta-IngredientReteta</t>
  </si>
  <si>
    <t>Relatiile de asociere/agregare din diagrama nu au multiplicitate definita. Ex: Order-OrderItem (1..*), Reteta-IngredientReteta (1..*) - informatii absente din diagrama curenta.</t>
  </si>
  <si>
    <t>Review Form. Coding Defects</t>
  </si>
  <si>
    <t>Coding Document</t>
  </si>
  <si>
    <t>C08</t>
  </si>
  <si>
    <t>FileAbstractRepository.java:27, 41</t>
  </si>
  <si>
    <t>Exceptiile IOException din loadFromFile() si writeToFile() sunt tratate doar cu e.printStackTrace(), fara propagare sau logging. Aplicatia poate continua in stare inconsistenta dupa un esec de I/O.</t>
  </si>
  <si>
    <t>C01</t>
  </si>
  <si>
    <t>ReceiptGenerator.java:14</t>
  </si>
  <si>
    <t>Metoda generate() nu verifica daca produsul cautat exista in lista. Apelul .toList().get(0) genereaza IndexOutOfBoundsException daca produsul nu este gasit (ex: produs sters intre timp din lista).</t>
  </si>
  <si>
    <t>C12</t>
  </si>
  <si>
    <t>Stoc.java:7-8, linia 10</t>
  </si>
  <si>
    <t>Campurile cantitate si stocMinim sunt declarate double, dar constructorul le primeste ca int. Aceasta inconsistenta de tip poate cauza pierderi de precizie si erori la deserializarea valorilor din fisier text.</t>
  </si>
  <si>
    <t>C07</t>
  </si>
  <si>
    <t>DrinkShopService.java:83-89</t>
  </si>
  <si>
    <t>Metoda comandaProdus() consuma stocul dar nu actualizeaza totalul comenzii. Lipseste mecanism de rollback: daca consumul esueaza partial, stocurile raman intr-o stare incoerenta.</t>
  </si>
  <si>
    <t>C11</t>
  </si>
  <si>
    <t>DrinkShopService.java, domain/*.java (multiple fisiere)</t>
  </si>
  <si>
    <t>Mix inconsistent de romana si engleza in denumiri: getNume(), getPret(), retetaService vs. addOrder(), computeTotal(), orderService; comandaProdus() vs. addOrder(). Lipseste o conventie uniforma.</t>
  </si>
  <si>
    <t>Tool-based Code Analysis</t>
  </si>
  <si>
    <t>Tool used:</t>
  </si>
  <si>
    <t>SonarQube</t>
  </si>
  <si>
    <t>Order.java:62-64</t>
  </si>
  <si>
    <t>sonar:S4144 - Duplicate method body: getTotal() si getTotalPrice() returneaza identic campul totalPrice</t>
  </si>
  <si>
    <t>public double getTotal() { return totalPrice; } (duplicat)</t>
  </si>
  <si>
    <t>CORECTAT: Eliminat getTotal(), inlocuit toate apelurile cu getTotalPrice().</t>
  </si>
  <si>
    <t>OrderValidator.java:13</t>
  </si>
  <si>
    <t>sonar:S1643 - String concatenation using += in loop</t>
  </si>
  <si>
    <t>String errors = ""; ... errors += e.getMessage();</t>
  </si>
  <si>
    <t>CORECTAT: StringBuilder errors = new StringBuilder(); errors.append(e.getMessage()); throw new ValidationException(errors.toString());</t>
  </si>
  <si>
    <t>FileAbstractRepository.java:26-28</t>
  </si>
  <si>
    <t>sonar:S2139 - Exception catch block only calls e.printStackTrace()</t>
  </si>
  <si>
    <t>catch (IOException e) { e.printStackTrace(); }</t>
  </si>
  <si>
    <t>CORECTAT: catch (IOException e) { throw new RuntimeException("Failed to read file: " + fileName, e); }</t>
  </si>
  <si>
    <t>ReceiptGenerator.java:15</t>
  </si>
  <si>
    <t>sonar:S1643 - String concatenation operator + inside StringBuilder.append() call</t>
  </si>
  <si>
    <t>sb.append(p.getNume()+": ").append(p.getPret())</t>
  </si>
  <si>
    <t>CORECTAT: sb.append(p.getNume()).append(": ").append(p.getPret())</t>
  </si>
  <si>
    <t>DrinkShopService.java:23</t>
  </si>
  <si>
    <t>sonar:S1117 - Local variable name hides field name: parametrul stocService ascunde campul privat</t>
  </si>
  <si>
    <t>Repository&lt;Integer, Stoc&gt; stocService</t>
  </si>
  <si>
    <t>CORECTAT: Repository&lt;Integer, Stoc&gt; stocRepo - elimina ambiguitatea intre parametru si camp.</t>
  </si>
  <si>
    <t>Effort to perform tool-based code analysis (hours):</t>
  </si>
  <si>
    <t>1.0</t>
  </si>
  <si>
    <t>a</t>
  </si>
  <si>
    <t>Negrea Razvan</t>
  </si>
  <si>
    <t>Naghel Roland</t>
  </si>
  <si>
    <t>Moroz Alexandra</t>
  </si>
  <si>
    <t>Nagel Roland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</si>
</sst>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8"/>
      <name val="Calibri"/>
      <family val="2"/>
      <charset val="238"/>
      <scheme val="minor"/>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1">
    <xf numFmtId="0" fontId="0" fillId="0" borderId="0" xfId="0"/>
    <xf numFmtId="0" fontId="8" fillId="0" borderId="1" xfId="0" applyFont="1" applyBorder="1"/>
    <xf numFmtId="0" fontId="8" fillId="0" borderId="1" xfId="0" applyFont="1" applyBorder="1" applyAlignment="1">
      <alignment wrapText="1"/>
    </xf>
    <xf numFmtId="0" fontId="6" fillId="0" borderId="1" xfId="0" applyFont="1" applyBorder="1"/>
    <xf numFmtId="0" fontId="9" fillId="0" borderId="0" xfId="0" applyFont="1"/>
    <xf numFmtId="0" fontId="10" fillId="0" borderId="0" xfId="0" applyFont="1"/>
    <xf numFmtId="0" fontId="6" fillId="0" borderId="0" xfId="0" applyFont="1"/>
    <xf numFmtId="0" fontId="7" fillId="3" borderId="1" xfId="0" applyFont="1" applyFill="1" applyBorder="1"/>
    <xf numFmtId="0" fontId="7" fillId="0" borderId="0" xfId="0" applyFont="1"/>
    <xf numFmtId="0" fontId="7" fillId="0" borderId="1" xfId="0" applyFont="1" applyBorder="1"/>
    <xf numFmtId="0" fontId="7" fillId="0" borderId="1" xfId="0" applyFont="1" applyBorder="1" applyAlignment="1">
      <alignment horizontal="center" vertical="center"/>
    </xf>
    <xf numFmtId="0" fontId="7" fillId="0" borderId="2" xfId="0" applyFont="1" applyBorder="1"/>
    <xf numFmtId="0" fontId="7" fillId="0" borderId="3" xfId="0" applyFont="1" applyBorder="1"/>
    <xf numFmtId="0" fontId="7" fillId="2" borderId="1" xfId="0" applyFont="1" applyFill="1" applyBorder="1"/>
    <xf numFmtId="0" fontId="7" fillId="0" borderId="1" xfId="0" applyFont="1" applyBorder="1" applyAlignment="1">
      <alignment horizontal="center" vertical="center" wrapText="1"/>
    </xf>
    <xf numFmtId="0" fontId="6" fillId="0" borderId="1" xfId="0" applyFont="1" applyBorder="1" applyAlignment="1">
      <alignment wrapText="1"/>
    </xf>
    <xf numFmtId="0" fontId="7" fillId="4" borderId="1" xfId="0" applyFont="1" applyFill="1" applyBorder="1"/>
    <xf numFmtId="0" fontId="5" fillId="0" borderId="1" xfId="0" applyFont="1" applyBorder="1"/>
    <xf numFmtId="0" fontId="8" fillId="0" borderId="0" xfId="0" applyFont="1"/>
    <xf numFmtId="0" fontId="4" fillId="0" borderId="1" xfId="0" applyFont="1" applyBorder="1"/>
    <xf numFmtId="0" fontId="3" fillId="0" borderId="0" xfId="0" applyFont="1"/>
    <xf numFmtId="0" fontId="2" fillId="0" borderId="0" xfId="0" applyFont="1"/>
    <xf numFmtId="0" fontId="1" fillId="0" borderId="0" xfId="0" applyFont="1"/>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8" fillId="0" borderId="1" xfId="0" applyFont="1" applyBorder="1" applyAlignment="1">
      <alignment vertical="center"/>
    </xf>
    <xf numFmtId="0" fontId="8" fillId="0" borderId="1" xfId="0" applyFont="1" applyBorder="1" applyAlignment="1">
      <alignment vertical="center" wrapText="1"/>
    </xf>
    <xf numFmtId="0" fontId="1" fillId="0" borderId="1" xfId="0" applyFont="1" applyBorder="1"/>
    <xf numFmtId="0" fontId="5" fillId="0" borderId="1" xfId="0" applyFont="1" applyBorder="1" applyAlignment="1">
      <alignment horizontal="center"/>
    </xf>
    <xf numFmtId="0" fontId="0" fillId="0" borderId="3" xfId="0" applyBorder="1"/>
    <xf numFmtId="0" fontId="0" fillId="0" borderId="4" xfId="0" applyBorder="1"/>
    <xf numFmtId="0" fontId="7" fillId="0" borderId="1" xfId="0" applyFont="1" applyBorder="1" applyAlignment="1">
      <alignment horizontal="right"/>
    </xf>
    <xf numFmtId="0" fontId="11" fillId="2" borderId="1" xfId="0" applyFont="1" applyFill="1" applyBorder="1" applyAlignment="1">
      <alignment horizontal="right"/>
    </xf>
    <xf numFmtId="0" fontId="7" fillId="2" borderId="1" xfId="0" applyFont="1" applyFill="1" applyBorder="1" applyAlignment="1">
      <alignment horizontal="right"/>
    </xf>
    <xf numFmtId="0" fontId="7" fillId="0" borderId="0" xfId="0" applyFont="1" applyAlignment="1">
      <alignment horizontal="center"/>
    </xf>
    <xf numFmtId="0" fontId="6" fillId="0" borderId="0" xfId="0" applyFont="1"/>
    <xf numFmtId="0" fontId="11" fillId="3" borderId="1" xfId="0" applyFont="1" applyFill="1" applyBorder="1" applyAlignment="1">
      <alignment horizontal="right"/>
    </xf>
    <xf numFmtId="0" fontId="7" fillId="3" borderId="1" xfId="0" applyFont="1" applyFill="1" applyBorder="1" applyAlignment="1">
      <alignment horizontal="right"/>
    </xf>
    <xf numFmtId="0" fontId="11" fillId="4" borderId="1" xfId="0" applyFont="1" applyFill="1" applyBorder="1" applyAlignment="1">
      <alignment horizontal="right"/>
    </xf>
    <xf numFmtId="0" fontId="7" fillId="4" borderId="1" xfId="0" applyFont="1" applyFill="1" applyBorder="1" applyAlignment="1">
      <alignment horizontal="right"/>
    </xf>
    <xf numFmtId="0" fontId="7" fillId="0" borderId="5" xfId="0" applyFont="1" applyBorder="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abSelected="1" topLeftCell="E1" zoomScale="207" workbookViewId="0">
      <selection activeCell="E18" sqref="E18"/>
    </sheetView>
  </sheetViews>
  <sheetFormatPr defaultColWidth="8.88671875" defaultRowHeight="14.4" x14ac:dyDescent="0.3"/>
  <cols>
    <col min="1" max="1" width="8.88671875" style="6" customWidth="1"/>
    <col min="2" max="2" width="12.21875" style="6" customWidth="1"/>
    <col min="3" max="4" width="16.21875" style="6" customWidth="1"/>
    <col min="5" max="5" width="41.44140625" style="6" customWidth="1"/>
    <col min="6" max="8" width="8.88671875" style="6" customWidth="1"/>
    <col min="9" max="9" width="21" style="6" customWidth="1"/>
    <col min="10" max="10" width="14.44140625" style="6" customWidth="1"/>
    <col min="11" max="11" width="8.88671875" style="6" customWidth="1"/>
    <col min="12" max="16384" width="8.88671875" style="6"/>
  </cols>
  <sheetData>
    <row r="1" spans="1:10" ht="15.45" customHeight="1" x14ac:dyDescent="0.3">
      <c r="A1" s="4"/>
      <c r="B1" s="5" t="s">
        <v>0</v>
      </c>
      <c r="H1" s="28" t="s">
        <v>1</v>
      </c>
      <c r="I1" s="29"/>
      <c r="J1" s="30"/>
    </row>
    <row r="2" spans="1:10" x14ac:dyDescent="0.3">
      <c r="B2" s="34" t="s">
        <v>2</v>
      </c>
      <c r="C2" s="35"/>
      <c r="D2" s="35"/>
      <c r="E2" s="35"/>
      <c r="H2" s="3"/>
      <c r="I2" s="19" t="s">
        <v>3</v>
      </c>
      <c r="J2" s="17" t="s">
        <v>4</v>
      </c>
    </row>
    <row r="3" spans="1:10" x14ac:dyDescent="0.3">
      <c r="H3" s="17" t="s">
        <v>5</v>
      </c>
      <c r="I3" s="27" t="s">
        <v>89</v>
      </c>
      <c r="J3" s="17">
        <v>234</v>
      </c>
    </row>
    <row r="4" spans="1:10" x14ac:dyDescent="0.3">
      <c r="C4" s="13" t="s">
        <v>6</v>
      </c>
      <c r="D4" s="33" t="s">
        <v>7</v>
      </c>
      <c r="E4" s="30"/>
      <c r="H4" s="17" t="s">
        <v>8</v>
      </c>
      <c r="I4" s="27" t="s">
        <v>92</v>
      </c>
      <c r="J4" s="3">
        <v>234</v>
      </c>
    </row>
    <row r="5" spans="1:10" x14ac:dyDescent="0.3">
      <c r="C5" s="13" t="s">
        <v>9</v>
      </c>
      <c r="D5" s="32" t="s">
        <v>89</v>
      </c>
      <c r="E5" s="30"/>
      <c r="H5" s="17" t="s">
        <v>10</v>
      </c>
      <c r="I5" s="27" t="s">
        <v>91</v>
      </c>
      <c r="J5" s="3">
        <v>234</v>
      </c>
    </row>
    <row r="6" spans="1:10" x14ac:dyDescent="0.3">
      <c r="B6" s="8"/>
      <c r="C6" s="9" t="s">
        <v>11</v>
      </c>
      <c r="D6" s="31" t="s">
        <v>12</v>
      </c>
      <c r="E6" s="30"/>
    </row>
    <row r="7" spans="1:10" x14ac:dyDescent="0.3">
      <c r="C7" s="9" t="s">
        <v>13</v>
      </c>
      <c r="D7" s="31" t="s">
        <v>14</v>
      </c>
      <c r="E7" s="30"/>
    </row>
    <row r="9" spans="1:10" x14ac:dyDescent="0.3">
      <c r="B9" s="10" t="s">
        <v>15</v>
      </c>
    </row>
    <row r="10" spans="1:10" ht="86.4" x14ac:dyDescent="0.3">
      <c r="B10" s="3">
        <v>1</v>
      </c>
      <c r="C10" s="23" t="s">
        <v>16</v>
      </c>
      <c r="D10" s="23" t="s">
        <v>17</v>
      </c>
      <c r="E10" s="24" t="s">
        <v>18</v>
      </c>
      <c r="G10" s="22" t="s">
        <v>88</v>
      </c>
    </row>
    <row r="11" spans="1:10" ht="72" x14ac:dyDescent="0.3">
      <c r="B11" s="3">
        <f t="shared" ref="B11:B25" si="0">B10+1</f>
        <v>2</v>
      </c>
      <c r="C11" s="1" t="s">
        <v>19</v>
      </c>
      <c r="D11" s="1" t="s">
        <v>20</v>
      </c>
      <c r="E11" s="2" t="s">
        <v>21</v>
      </c>
    </row>
    <row r="12" spans="1:10" ht="72" x14ac:dyDescent="0.3">
      <c r="B12" s="3">
        <f t="shared" si="0"/>
        <v>3</v>
      </c>
      <c r="C12" s="1" t="s">
        <v>22</v>
      </c>
      <c r="D12" s="1" t="s">
        <v>23</v>
      </c>
      <c r="E12" s="2" t="s">
        <v>24</v>
      </c>
    </row>
    <row r="13" spans="1:10" ht="72" x14ac:dyDescent="0.3">
      <c r="B13" s="3">
        <f t="shared" si="0"/>
        <v>4</v>
      </c>
      <c r="C13" s="1" t="s">
        <v>25</v>
      </c>
      <c r="D13" s="1" t="s">
        <v>20</v>
      </c>
      <c r="E13" s="2" t="s">
        <v>26</v>
      </c>
    </row>
    <row r="14" spans="1:10" x14ac:dyDescent="0.3">
      <c r="B14" s="3">
        <f t="shared" si="0"/>
        <v>5</v>
      </c>
      <c r="C14" s="1"/>
      <c r="D14" s="1"/>
      <c r="E14" s="2"/>
    </row>
    <row r="15" spans="1:10" x14ac:dyDescent="0.3">
      <c r="B15" s="3">
        <f t="shared" si="0"/>
        <v>6</v>
      </c>
      <c r="C15" s="1"/>
      <c r="D15" s="1"/>
      <c r="E15" s="2"/>
    </row>
    <row r="16" spans="1:10" x14ac:dyDescent="0.3">
      <c r="B16" s="3">
        <f t="shared" si="0"/>
        <v>7</v>
      </c>
      <c r="C16" s="1"/>
      <c r="D16" s="1"/>
      <c r="E16" s="2"/>
    </row>
    <row r="17" spans="2:5" x14ac:dyDescent="0.3">
      <c r="B17" s="3">
        <f t="shared" si="0"/>
        <v>8</v>
      </c>
      <c r="C17" s="1"/>
      <c r="D17" s="1"/>
      <c r="E17" s="2"/>
    </row>
    <row r="18" spans="2:5" x14ac:dyDescent="0.3">
      <c r="B18" s="3">
        <f t="shared" si="0"/>
        <v>9</v>
      </c>
      <c r="C18" s="3"/>
      <c r="D18" s="3"/>
      <c r="E18" s="15"/>
    </row>
    <row r="19" spans="2:5" x14ac:dyDescent="0.3">
      <c r="B19" s="3">
        <f t="shared" si="0"/>
        <v>10</v>
      </c>
      <c r="C19" s="3"/>
      <c r="D19" s="3"/>
      <c r="E19" s="15"/>
    </row>
    <row r="20" spans="2:5" x14ac:dyDescent="0.3">
      <c r="B20" s="3">
        <f t="shared" si="0"/>
        <v>11</v>
      </c>
      <c r="C20" s="3"/>
      <c r="D20" s="3"/>
      <c r="E20" s="15"/>
    </row>
    <row r="21" spans="2:5" x14ac:dyDescent="0.3">
      <c r="B21" s="3">
        <f t="shared" si="0"/>
        <v>12</v>
      </c>
      <c r="C21" s="3"/>
      <c r="D21" s="3"/>
      <c r="E21" s="15"/>
    </row>
    <row r="22" spans="2:5" x14ac:dyDescent="0.3">
      <c r="B22" s="3">
        <f t="shared" si="0"/>
        <v>13</v>
      </c>
      <c r="C22" s="3"/>
      <c r="D22" s="3"/>
      <c r="E22" s="15"/>
    </row>
    <row r="23" spans="2:5" x14ac:dyDescent="0.3">
      <c r="B23" s="3">
        <f t="shared" si="0"/>
        <v>14</v>
      </c>
      <c r="C23" s="3"/>
      <c r="D23" s="3"/>
      <c r="E23" s="15"/>
    </row>
    <row r="24" spans="2:5" x14ac:dyDescent="0.3">
      <c r="B24" s="3">
        <f t="shared" si="0"/>
        <v>15</v>
      </c>
      <c r="C24" s="3"/>
      <c r="D24" s="3"/>
      <c r="E24" s="15"/>
    </row>
    <row r="25" spans="2:5" x14ac:dyDescent="0.3">
      <c r="B25" s="3">
        <f t="shared" si="0"/>
        <v>16</v>
      </c>
      <c r="C25" s="3"/>
      <c r="D25" s="3"/>
      <c r="E25" s="15"/>
    </row>
    <row r="26" spans="2:5" x14ac:dyDescent="0.3">
      <c r="D26" t="s">
        <v>27</v>
      </c>
    </row>
    <row r="27" spans="2:5" x14ac:dyDescent="0.3">
      <c r="C27" s="11" t="s">
        <v>28</v>
      </c>
      <c r="D27" s="12"/>
      <c r="E27" s="1"/>
    </row>
  </sheetData>
  <mergeCells count="6">
    <mergeCell ref="H1:J1"/>
    <mergeCell ref="D6:E6"/>
    <mergeCell ref="D7:E7"/>
    <mergeCell ref="D5:E5"/>
    <mergeCell ref="D4:E4"/>
    <mergeCell ref="B2:E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opLeftCell="A2" zoomScale="105" workbookViewId="0">
      <selection activeCell="I11" sqref="I11"/>
    </sheetView>
  </sheetViews>
  <sheetFormatPr defaultColWidth="8.88671875" defaultRowHeight="14.4" x14ac:dyDescent="0.3"/>
  <cols>
    <col min="1" max="1" width="8.88671875" style="6" customWidth="1"/>
    <col min="2" max="2" width="12.21875" style="6" customWidth="1"/>
    <col min="3" max="4" width="16.21875" style="6" customWidth="1"/>
    <col min="5" max="5" width="41.44140625" style="6" customWidth="1"/>
    <col min="6" max="8" width="8.88671875" style="6" customWidth="1"/>
    <col min="9" max="9" width="22.109375" style="6" customWidth="1"/>
    <col min="10" max="10" width="8.88671875" style="6" customWidth="1"/>
    <col min="11" max="16384" width="8.88671875" style="6"/>
  </cols>
  <sheetData>
    <row r="1" spans="1:10" ht="15.45" customHeight="1" x14ac:dyDescent="0.3">
      <c r="A1" s="4"/>
      <c r="B1" s="5" t="s">
        <v>0</v>
      </c>
      <c r="H1" s="28" t="s">
        <v>1</v>
      </c>
      <c r="I1" s="29"/>
      <c r="J1" s="30"/>
    </row>
    <row r="2" spans="1:10" x14ac:dyDescent="0.3">
      <c r="B2" s="34" t="s">
        <v>29</v>
      </c>
      <c r="C2" s="35"/>
      <c r="D2" s="35"/>
      <c r="E2" s="35"/>
      <c r="H2" s="3"/>
      <c r="I2" s="19" t="s">
        <v>3</v>
      </c>
      <c r="J2" s="17" t="s">
        <v>4</v>
      </c>
    </row>
    <row r="3" spans="1:10" x14ac:dyDescent="0.3">
      <c r="H3" s="17" t="s">
        <v>5</v>
      </c>
      <c r="I3" s="27" t="s">
        <v>91</v>
      </c>
      <c r="J3" s="17">
        <v>234</v>
      </c>
    </row>
    <row r="4" spans="1:10" x14ac:dyDescent="0.3">
      <c r="C4" s="7" t="s">
        <v>6</v>
      </c>
      <c r="D4" s="37" t="s">
        <v>30</v>
      </c>
      <c r="E4" s="30"/>
      <c r="H4" s="17" t="s">
        <v>8</v>
      </c>
      <c r="I4" s="27" t="s">
        <v>90</v>
      </c>
      <c r="J4" s="3">
        <v>234</v>
      </c>
    </row>
    <row r="5" spans="1:10" x14ac:dyDescent="0.3">
      <c r="C5" s="7" t="s">
        <v>31</v>
      </c>
      <c r="D5" s="36" t="s">
        <v>89</v>
      </c>
      <c r="E5" s="30"/>
      <c r="H5" s="17" t="s">
        <v>10</v>
      </c>
      <c r="I5" s="27" t="s">
        <v>89</v>
      </c>
      <c r="J5" s="3">
        <v>234</v>
      </c>
    </row>
    <row r="6" spans="1:10" x14ac:dyDescent="0.3">
      <c r="B6" s="8"/>
      <c r="C6" s="9" t="s">
        <v>11</v>
      </c>
      <c r="D6" s="31" t="s">
        <v>12</v>
      </c>
      <c r="E6" s="30"/>
    </row>
    <row r="7" spans="1:10" x14ac:dyDescent="0.3">
      <c r="C7" s="9" t="s">
        <v>13</v>
      </c>
      <c r="D7" s="31" t="s">
        <v>14</v>
      </c>
      <c r="E7" s="30"/>
    </row>
    <row r="9" spans="1:10" x14ac:dyDescent="0.3">
      <c r="B9" s="10" t="s">
        <v>15</v>
      </c>
    </row>
    <row r="10" spans="1:10" x14ac:dyDescent="0.3">
      <c r="B10" s="3">
        <v>1</v>
      </c>
      <c r="C10" s="10" t="s">
        <v>32</v>
      </c>
      <c r="D10" s="10" t="s">
        <v>33</v>
      </c>
      <c r="E10" s="10" t="s">
        <v>34</v>
      </c>
    </row>
    <row r="11" spans="1:10" ht="72" x14ac:dyDescent="0.3">
      <c r="B11" s="3">
        <f t="shared" ref="B11:B26" si="0">B10+1</f>
        <v>2</v>
      </c>
      <c r="C11" s="1" t="s">
        <v>35</v>
      </c>
      <c r="D11" s="2" t="s">
        <v>36</v>
      </c>
      <c r="E11" s="2" t="s">
        <v>37</v>
      </c>
    </row>
    <row r="12" spans="1:10" ht="57.6" x14ac:dyDescent="0.3">
      <c r="B12" s="3">
        <f t="shared" si="0"/>
        <v>3</v>
      </c>
      <c r="C12" s="1" t="s">
        <v>38</v>
      </c>
      <c r="D12" s="2" t="s">
        <v>36</v>
      </c>
      <c r="E12" s="2" t="s">
        <v>39</v>
      </c>
    </row>
    <row r="13" spans="1:10" ht="57.6" x14ac:dyDescent="0.3">
      <c r="B13" s="3">
        <f t="shared" si="0"/>
        <v>4</v>
      </c>
      <c r="C13" s="1" t="s">
        <v>40</v>
      </c>
      <c r="D13" s="1" t="s">
        <v>41</v>
      </c>
      <c r="E13" s="2" t="s">
        <v>42</v>
      </c>
    </row>
    <row r="14" spans="1:10" ht="57.6" x14ac:dyDescent="0.3">
      <c r="B14" s="3">
        <f t="shared" si="0"/>
        <v>5</v>
      </c>
      <c r="C14" s="1" t="s">
        <v>43</v>
      </c>
      <c r="D14" s="1" t="s">
        <v>44</v>
      </c>
      <c r="E14" s="2" t="s">
        <v>45</v>
      </c>
    </row>
    <row r="15" spans="1:10" x14ac:dyDescent="0.3">
      <c r="B15" s="3">
        <f t="shared" si="0"/>
        <v>6</v>
      </c>
      <c r="C15" s="1"/>
      <c r="D15" s="1"/>
      <c r="E15" s="2"/>
    </row>
    <row r="16" spans="1:10" x14ac:dyDescent="0.3">
      <c r="B16" s="3">
        <f t="shared" si="0"/>
        <v>7</v>
      </c>
      <c r="C16" s="1"/>
      <c r="D16" s="2"/>
      <c r="E16" s="2"/>
    </row>
    <row r="17" spans="2:5" x14ac:dyDescent="0.3">
      <c r="B17" s="3">
        <f t="shared" si="0"/>
        <v>8</v>
      </c>
      <c r="C17" s="1"/>
      <c r="D17" s="2"/>
      <c r="E17" s="2"/>
    </row>
    <row r="18" spans="2:5" x14ac:dyDescent="0.3">
      <c r="B18" s="3">
        <f t="shared" si="0"/>
        <v>9</v>
      </c>
      <c r="C18" s="1"/>
      <c r="D18" s="1"/>
      <c r="E18" s="2"/>
    </row>
    <row r="19" spans="2:5" x14ac:dyDescent="0.3">
      <c r="B19" s="3">
        <f t="shared" si="0"/>
        <v>10</v>
      </c>
      <c r="C19" s="1"/>
      <c r="D19" s="2"/>
      <c r="E19" s="2"/>
    </row>
    <row r="20" spans="2:5" x14ac:dyDescent="0.3">
      <c r="B20" s="3">
        <f t="shared" si="0"/>
        <v>11</v>
      </c>
      <c r="C20" s="1"/>
      <c r="D20" s="1"/>
      <c r="E20" s="2"/>
    </row>
    <row r="21" spans="2:5" x14ac:dyDescent="0.3">
      <c r="B21" s="3">
        <f t="shared" si="0"/>
        <v>12</v>
      </c>
      <c r="C21" s="1"/>
      <c r="D21" s="1"/>
      <c r="E21" s="2"/>
    </row>
    <row r="22" spans="2:5" x14ac:dyDescent="0.3">
      <c r="B22" s="3">
        <f t="shared" si="0"/>
        <v>13</v>
      </c>
      <c r="C22" s="1"/>
      <c r="D22" s="1"/>
      <c r="E22" s="2"/>
    </row>
    <row r="23" spans="2:5" x14ac:dyDescent="0.3">
      <c r="B23" s="3">
        <f t="shared" si="0"/>
        <v>14</v>
      </c>
      <c r="C23" s="1"/>
      <c r="D23" s="1"/>
      <c r="E23" s="2"/>
    </row>
    <row r="24" spans="2:5" x14ac:dyDescent="0.3">
      <c r="B24" s="3">
        <f t="shared" si="0"/>
        <v>15</v>
      </c>
      <c r="C24" s="1"/>
      <c r="D24" s="1"/>
      <c r="E24" s="2"/>
    </row>
    <row r="25" spans="2:5" x14ac:dyDescent="0.3">
      <c r="B25" s="3">
        <f t="shared" si="0"/>
        <v>16</v>
      </c>
      <c r="C25" s="1"/>
      <c r="D25" s="1"/>
      <c r="E25" s="2"/>
    </row>
    <row r="26" spans="2:5" x14ac:dyDescent="0.3">
      <c r="B26" s="3">
        <f t="shared" si="0"/>
        <v>17</v>
      </c>
      <c r="C26" s="1"/>
      <c r="D26" s="1"/>
      <c r="E26" s="2"/>
    </row>
    <row r="27" spans="2:5" x14ac:dyDescent="0.3">
      <c r="D27" t="s">
        <v>27</v>
      </c>
    </row>
    <row r="28" spans="2:5" x14ac:dyDescent="0.3">
      <c r="C28" s="11" t="s">
        <v>28</v>
      </c>
      <c r="D28" s="12"/>
      <c r="E28" s="1"/>
    </row>
  </sheetData>
  <mergeCells count="6">
    <mergeCell ref="H1:J1"/>
    <mergeCell ref="D6:E6"/>
    <mergeCell ref="D7:E7"/>
    <mergeCell ref="D5:E5"/>
    <mergeCell ref="D4:E4"/>
    <mergeCell ref="B2:E2"/>
  </mergeCell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topLeftCell="A3" zoomScale="137" workbookViewId="0">
      <selection activeCell="E11" sqref="E11"/>
    </sheetView>
  </sheetViews>
  <sheetFormatPr defaultColWidth="8.88671875" defaultRowHeight="14.4" x14ac:dyDescent="0.3"/>
  <cols>
    <col min="1" max="1" width="8.88671875" style="6" customWidth="1"/>
    <col min="2" max="2" width="12.21875" style="6" customWidth="1"/>
    <col min="3" max="3" width="16.21875" style="6" customWidth="1"/>
    <col min="4" max="4" width="18" style="6" customWidth="1"/>
    <col min="5" max="5" width="41.44140625" style="6" customWidth="1"/>
    <col min="6" max="8" width="8.88671875" style="6" customWidth="1"/>
    <col min="9" max="9" width="26.77734375" style="6" customWidth="1"/>
    <col min="10" max="10" width="8.88671875" style="6" customWidth="1"/>
    <col min="11" max="16384" width="8.88671875" style="6"/>
  </cols>
  <sheetData>
    <row r="1" spans="1:10" ht="15.45" customHeight="1" x14ac:dyDescent="0.3">
      <c r="A1" s="4"/>
      <c r="B1" s="5" t="s">
        <v>0</v>
      </c>
      <c r="H1" s="28" t="s">
        <v>1</v>
      </c>
      <c r="I1" s="29"/>
      <c r="J1" s="30"/>
    </row>
    <row r="2" spans="1:10" x14ac:dyDescent="0.3">
      <c r="B2" s="34" t="s">
        <v>46</v>
      </c>
      <c r="C2" s="35"/>
      <c r="D2" s="35"/>
      <c r="E2" s="35"/>
      <c r="H2" s="3"/>
      <c r="I2" s="19" t="s">
        <v>3</v>
      </c>
      <c r="J2" s="17" t="s">
        <v>4</v>
      </c>
    </row>
    <row r="3" spans="1:10" x14ac:dyDescent="0.3">
      <c r="H3" s="17" t="s">
        <v>5</v>
      </c>
      <c r="I3" s="27" t="s">
        <v>92</v>
      </c>
      <c r="J3" s="17">
        <v>234</v>
      </c>
    </row>
    <row r="4" spans="1:10" x14ac:dyDescent="0.3">
      <c r="C4" s="16" t="s">
        <v>6</v>
      </c>
      <c r="D4" s="39" t="s">
        <v>47</v>
      </c>
      <c r="E4" s="30"/>
      <c r="H4" s="17" t="s">
        <v>8</v>
      </c>
      <c r="I4" s="27" t="s">
        <v>91</v>
      </c>
      <c r="J4" s="3">
        <v>234</v>
      </c>
    </row>
    <row r="5" spans="1:10" x14ac:dyDescent="0.3">
      <c r="C5" s="16" t="s">
        <v>9</v>
      </c>
      <c r="D5" s="38" t="s">
        <v>89</v>
      </c>
      <c r="E5" s="30"/>
      <c r="H5" s="17" t="s">
        <v>10</v>
      </c>
      <c r="I5" s="27" t="s">
        <v>89</v>
      </c>
      <c r="J5" s="3">
        <v>234</v>
      </c>
    </row>
    <row r="6" spans="1:10" x14ac:dyDescent="0.3">
      <c r="B6" s="8"/>
      <c r="C6" s="9" t="s">
        <v>11</v>
      </c>
      <c r="D6" s="31" t="s">
        <v>12</v>
      </c>
      <c r="E6" s="30"/>
    </row>
    <row r="7" spans="1:10" x14ac:dyDescent="0.3">
      <c r="C7" s="9" t="s">
        <v>13</v>
      </c>
      <c r="D7" s="31" t="s">
        <v>14</v>
      </c>
      <c r="E7" s="30"/>
    </row>
    <row r="9" spans="1:10" x14ac:dyDescent="0.3">
      <c r="B9" s="10" t="s">
        <v>15</v>
      </c>
    </row>
    <row r="10" spans="1:10" x14ac:dyDescent="0.3">
      <c r="B10" s="3">
        <v>1</v>
      </c>
      <c r="C10" s="10" t="s">
        <v>48</v>
      </c>
      <c r="D10" s="10" t="s">
        <v>49</v>
      </c>
      <c r="E10" s="10" t="s">
        <v>50</v>
      </c>
    </row>
    <row r="11" spans="1:10" ht="72" x14ac:dyDescent="0.3">
      <c r="B11" s="3">
        <f t="shared" ref="B11:B30" si="0">B10+1</f>
        <v>2</v>
      </c>
      <c r="C11" s="1" t="s">
        <v>51</v>
      </c>
      <c r="D11" s="2" t="s">
        <v>52</v>
      </c>
      <c r="E11" s="2" t="s">
        <v>53</v>
      </c>
    </row>
    <row r="12" spans="1:10" ht="72" x14ac:dyDescent="0.3">
      <c r="B12" s="3">
        <f t="shared" si="0"/>
        <v>3</v>
      </c>
      <c r="C12" s="1" t="s">
        <v>54</v>
      </c>
      <c r="D12" s="1" t="s">
        <v>55</v>
      </c>
      <c r="E12" s="2" t="s">
        <v>56</v>
      </c>
    </row>
    <row r="13" spans="1:10" ht="57.6" x14ac:dyDescent="0.3">
      <c r="B13" s="3">
        <f t="shared" si="0"/>
        <v>4</v>
      </c>
      <c r="C13" s="1" t="s">
        <v>57</v>
      </c>
      <c r="D13" s="1" t="s">
        <v>58</v>
      </c>
      <c r="E13" s="2" t="s">
        <v>59</v>
      </c>
    </row>
    <row r="14" spans="1:10" ht="72" x14ac:dyDescent="0.3">
      <c r="B14" s="3">
        <f t="shared" si="0"/>
        <v>5</v>
      </c>
      <c r="C14" s="1" t="s">
        <v>60</v>
      </c>
      <c r="D14" s="2" t="s">
        <v>61</v>
      </c>
      <c r="E14" s="2" t="s">
        <v>62</v>
      </c>
    </row>
    <row r="15" spans="1:10" x14ac:dyDescent="0.3">
      <c r="B15" s="3">
        <f t="shared" si="0"/>
        <v>6</v>
      </c>
      <c r="C15" s="1"/>
      <c r="D15" s="2"/>
      <c r="E15" s="2"/>
    </row>
    <row r="16" spans="1:10" x14ac:dyDescent="0.3">
      <c r="B16" s="3">
        <f t="shared" si="0"/>
        <v>7</v>
      </c>
      <c r="C16" s="1"/>
      <c r="D16" s="2"/>
      <c r="E16" s="2"/>
    </row>
    <row r="17" spans="2:5" x14ac:dyDescent="0.3">
      <c r="B17" s="3">
        <f t="shared" si="0"/>
        <v>8</v>
      </c>
      <c r="C17" s="1"/>
      <c r="D17" s="2"/>
      <c r="E17" s="2"/>
    </row>
    <row r="18" spans="2:5" x14ac:dyDescent="0.3">
      <c r="B18" s="3">
        <f t="shared" si="0"/>
        <v>9</v>
      </c>
      <c r="C18" s="1"/>
      <c r="D18" s="2"/>
      <c r="E18" s="2"/>
    </row>
    <row r="19" spans="2:5" x14ac:dyDescent="0.3">
      <c r="B19" s="3">
        <f t="shared" si="0"/>
        <v>10</v>
      </c>
      <c r="C19" s="1"/>
      <c r="D19" s="1"/>
      <c r="E19" s="2"/>
    </row>
    <row r="20" spans="2:5" x14ac:dyDescent="0.3">
      <c r="B20" s="3">
        <f t="shared" si="0"/>
        <v>11</v>
      </c>
      <c r="C20" s="1"/>
      <c r="D20" s="2"/>
      <c r="E20" s="2"/>
    </row>
    <row r="21" spans="2:5" x14ac:dyDescent="0.3">
      <c r="B21" s="3">
        <f t="shared" si="0"/>
        <v>12</v>
      </c>
      <c r="C21" s="1"/>
      <c r="D21" s="1"/>
      <c r="E21" s="2"/>
    </row>
    <row r="22" spans="2:5" x14ac:dyDescent="0.3">
      <c r="B22" s="3">
        <f t="shared" si="0"/>
        <v>13</v>
      </c>
      <c r="C22" s="1"/>
      <c r="D22" s="2"/>
      <c r="E22" s="2"/>
    </row>
    <row r="23" spans="2:5" x14ac:dyDescent="0.3">
      <c r="B23" s="3">
        <f t="shared" si="0"/>
        <v>14</v>
      </c>
      <c r="C23" s="1"/>
      <c r="D23" s="2"/>
      <c r="E23" s="2"/>
    </row>
    <row r="24" spans="2:5" x14ac:dyDescent="0.3">
      <c r="B24" s="3">
        <f t="shared" si="0"/>
        <v>15</v>
      </c>
      <c r="C24" s="1"/>
      <c r="D24" s="2"/>
      <c r="E24" s="2"/>
    </row>
    <row r="25" spans="2:5" x14ac:dyDescent="0.3">
      <c r="B25" s="3">
        <f t="shared" si="0"/>
        <v>16</v>
      </c>
      <c r="C25" s="1"/>
      <c r="D25" s="2"/>
      <c r="E25" s="2"/>
    </row>
    <row r="26" spans="2:5" x14ac:dyDescent="0.3">
      <c r="B26" s="3">
        <f t="shared" si="0"/>
        <v>17</v>
      </c>
      <c r="C26" s="1"/>
      <c r="D26" s="1"/>
      <c r="E26" s="2"/>
    </row>
    <row r="27" spans="2:5" x14ac:dyDescent="0.3">
      <c r="B27" s="3">
        <f t="shared" si="0"/>
        <v>18</v>
      </c>
      <c r="C27" s="1"/>
      <c r="D27" s="2"/>
      <c r="E27" s="1"/>
    </row>
    <row r="28" spans="2:5" x14ac:dyDescent="0.3">
      <c r="B28" s="3">
        <f t="shared" si="0"/>
        <v>19</v>
      </c>
      <c r="C28" s="1"/>
      <c r="D28" s="2"/>
      <c r="E28" s="2"/>
    </row>
    <row r="29" spans="2:5" x14ac:dyDescent="0.3">
      <c r="B29" s="3">
        <f t="shared" si="0"/>
        <v>20</v>
      </c>
      <c r="C29" s="1"/>
      <c r="D29" s="2"/>
      <c r="E29" s="2"/>
    </row>
    <row r="30" spans="2:5" x14ac:dyDescent="0.3">
      <c r="B30" s="3">
        <f t="shared" si="0"/>
        <v>21</v>
      </c>
      <c r="C30" s="1"/>
      <c r="D30" s="2"/>
      <c r="E30" s="2"/>
    </row>
    <row r="31" spans="2:5" x14ac:dyDescent="0.3">
      <c r="D31" t="s">
        <v>27</v>
      </c>
    </row>
    <row r="32" spans="2:5" x14ac:dyDescent="0.3">
      <c r="C32" s="11" t="s">
        <v>28</v>
      </c>
      <c r="D32" s="12"/>
      <c r="E32" s="1"/>
    </row>
  </sheetData>
  <mergeCells count="6">
    <mergeCell ref="H1:J1"/>
    <mergeCell ref="D6:E6"/>
    <mergeCell ref="D7:E7"/>
    <mergeCell ref="D5:E5"/>
    <mergeCell ref="D4:E4"/>
    <mergeCell ref="B2:E2"/>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zoomScale="104" workbookViewId="0">
      <selection activeCell="I8" sqref="I8"/>
    </sheetView>
  </sheetViews>
  <sheetFormatPr defaultColWidth="8.88671875" defaultRowHeight="14.4" x14ac:dyDescent="0.3"/>
  <cols>
    <col min="1" max="1" width="8.88671875" style="6" customWidth="1"/>
    <col min="2" max="2" width="12.21875" style="6" customWidth="1"/>
    <col min="3" max="3" width="37.44140625" style="6" customWidth="1"/>
    <col min="4" max="4" width="37.5546875" style="6" customWidth="1"/>
    <col min="5" max="5" width="36.21875" style="6" customWidth="1"/>
    <col min="6" max="6" width="48.6640625" style="6" customWidth="1"/>
    <col min="7" max="8" width="8.88671875" style="6" customWidth="1"/>
    <col min="9" max="9" width="26.77734375" style="6" customWidth="1"/>
    <col min="10" max="10" width="8.88671875" style="6" customWidth="1"/>
    <col min="11" max="16384" width="8.88671875" style="6"/>
  </cols>
  <sheetData>
    <row r="1" spans="1:10" ht="15.45" customHeight="1" x14ac:dyDescent="0.3">
      <c r="A1" s="4"/>
      <c r="B1" s="5" t="s">
        <v>0</v>
      </c>
      <c r="H1" s="28" t="s">
        <v>1</v>
      </c>
      <c r="I1" s="29"/>
      <c r="J1" s="30"/>
    </row>
    <row r="2" spans="1:10" x14ac:dyDescent="0.3">
      <c r="B2" s="34" t="s">
        <v>63</v>
      </c>
      <c r="C2" s="35"/>
      <c r="D2" s="35"/>
      <c r="E2" s="35"/>
      <c r="H2" s="3"/>
      <c r="I2" s="19" t="s">
        <v>3</v>
      </c>
      <c r="J2" s="17" t="s">
        <v>4</v>
      </c>
    </row>
    <row r="3" spans="1:10" x14ac:dyDescent="0.3">
      <c r="H3" s="17" t="s">
        <v>5</v>
      </c>
      <c r="I3" s="27" t="s">
        <v>91</v>
      </c>
      <c r="J3" s="17">
        <v>234</v>
      </c>
    </row>
    <row r="4" spans="1:10" x14ac:dyDescent="0.3">
      <c r="C4" s="16" t="s">
        <v>64</v>
      </c>
      <c r="D4" s="39" t="s">
        <v>65</v>
      </c>
      <c r="E4" s="30"/>
      <c r="H4" s="17" t="s">
        <v>8</v>
      </c>
      <c r="I4" s="27" t="s">
        <v>92</v>
      </c>
      <c r="J4" s="3">
        <v>234</v>
      </c>
    </row>
    <row r="5" spans="1:10" x14ac:dyDescent="0.3">
      <c r="C5" s="9" t="s">
        <v>11</v>
      </c>
      <c r="D5" s="31" t="s">
        <v>12</v>
      </c>
      <c r="E5" s="30"/>
      <c r="H5" s="17" t="s">
        <v>10</v>
      </c>
      <c r="I5" s="27" t="s">
        <v>89</v>
      </c>
      <c r="J5" s="3">
        <v>234</v>
      </c>
    </row>
    <row r="6" spans="1:10" x14ac:dyDescent="0.3">
      <c r="B6" s="8"/>
      <c r="C6" s="9" t="s">
        <v>13</v>
      </c>
      <c r="D6" s="31" t="s">
        <v>14</v>
      </c>
      <c r="E6" s="30"/>
      <c r="F6" s="20"/>
    </row>
    <row r="9" spans="1:10" x14ac:dyDescent="0.3">
      <c r="B9" s="10" t="s">
        <v>15</v>
      </c>
    </row>
    <row r="10" spans="1:10" x14ac:dyDescent="0.3">
      <c r="B10" s="3">
        <v>1</v>
      </c>
      <c r="C10" t="s">
        <v>66</v>
      </c>
      <c r="D10" t="s">
        <v>67</v>
      </c>
      <c r="E10" t="s">
        <v>68</v>
      </c>
      <c r="F10" t="s">
        <v>69</v>
      </c>
    </row>
    <row r="11" spans="1:10" ht="112.2" customHeight="1" x14ac:dyDescent="0.3">
      <c r="B11" s="3">
        <f t="shared" ref="B11:B30" si="0">B10+1</f>
        <v>2</v>
      </c>
      <c r="C11" s="14" t="s">
        <v>70</v>
      </c>
      <c r="D11" s="14" t="s">
        <v>71</v>
      </c>
      <c r="E11" s="14" t="s">
        <v>72</v>
      </c>
      <c r="F11" s="14" t="s">
        <v>73</v>
      </c>
    </row>
    <row r="12" spans="1:10" ht="28.8" x14ac:dyDescent="0.3">
      <c r="B12" s="3">
        <f t="shared" si="0"/>
        <v>3</v>
      </c>
      <c r="C12" s="25" t="s">
        <v>74</v>
      </c>
      <c r="D12" s="26" t="s">
        <v>75</v>
      </c>
      <c r="E12" s="26" t="s">
        <v>76</v>
      </c>
      <c r="F12" s="26" t="s">
        <v>77</v>
      </c>
    </row>
    <row r="13" spans="1:10" ht="28.8" x14ac:dyDescent="0.3">
      <c r="B13" s="3">
        <f t="shared" si="0"/>
        <v>4</v>
      </c>
      <c r="C13" s="25" t="s">
        <v>78</v>
      </c>
      <c r="D13" s="25" t="s">
        <v>79</v>
      </c>
      <c r="E13" s="26" t="s">
        <v>80</v>
      </c>
      <c r="F13" s="26" t="s">
        <v>81</v>
      </c>
    </row>
    <row r="14" spans="1:10" ht="28.8" x14ac:dyDescent="0.3">
      <c r="B14" s="3">
        <f t="shared" si="0"/>
        <v>5</v>
      </c>
      <c r="C14" s="25" t="s">
        <v>82</v>
      </c>
      <c r="D14" s="25" t="s">
        <v>83</v>
      </c>
      <c r="E14" s="26" t="s">
        <v>84</v>
      </c>
      <c r="F14" s="26" t="s">
        <v>85</v>
      </c>
    </row>
    <row r="15" spans="1:10" x14ac:dyDescent="0.3">
      <c r="B15" s="3">
        <f t="shared" si="0"/>
        <v>6</v>
      </c>
      <c r="C15" s="1"/>
      <c r="D15" s="2"/>
      <c r="E15" s="2"/>
      <c r="F15" s="2"/>
    </row>
    <row r="16" spans="1:10" x14ac:dyDescent="0.3">
      <c r="B16" s="3">
        <f t="shared" si="0"/>
        <v>7</v>
      </c>
      <c r="C16" s="1"/>
      <c r="D16" s="2"/>
      <c r="E16" s="2"/>
      <c r="F16" s="2"/>
    </row>
    <row r="17" spans="2:6" x14ac:dyDescent="0.3">
      <c r="B17" s="3">
        <f t="shared" si="0"/>
        <v>8</v>
      </c>
      <c r="C17" s="1"/>
      <c r="D17" s="2"/>
      <c r="E17" s="2"/>
      <c r="F17" s="2"/>
    </row>
    <row r="18" spans="2:6" x14ac:dyDescent="0.3">
      <c r="B18" s="3">
        <f t="shared" si="0"/>
        <v>9</v>
      </c>
      <c r="C18" s="1"/>
      <c r="D18" s="2"/>
      <c r="E18" s="2"/>
      <c r="F18" s="2"/>
    </row>
    <row r="19" spans="2:6" x14ac:dyDescent="0.3">
      <c r="B19" s="3">
        <f t="shared" si="0"/>
        <v>10</v>
      </c>
      <c r="C19" s="1"/>
      <c r="D19" s="1"/>
      <c r="E19" s="2"/>
      <c r="F19" s="2"/>
    </row>
    <row r="20" spans="2:6" x14ac:dyDescent="0.3">
      <c r="B20" s="3">
        <f t="shared" si="0"/>
        <v>11</v>
      </c>
      <c r="C20" s="1"/>
      <c r="D20" s="2"/>
      <c r="E20" s="2"/>
      <c r="F20" s="2"/>
    </row>
    <row r="21" spans="2:6" x14ac:dyDescent="0.3">
      <c r="B21" s="3">
        <f t="shared" si="0"/>
        <v>12</v>
      </c>
      <c r="C21" s="1"/>
      <c r="D21" s="1"/>
      <c r="E21" s="2"/>
      <c r="F21" s="2"/>
    </row>
    <row r="22" spans="2:6" x14ac:dyDescent="0.3">
      <c r="B22" s="3">
        <f t="shared" si="0"/>
        <v>13</v>
      </c>
      <c r="C22" s="1"/>
      <c r="D22" s="2"/>
      <c r="E22" s="2"/>
      <c r="F22" s="2"/>
    </row>
    <row r="23" spans="2:6" x14ac:dyDescent="0.3">
      <c r="B23" s="3">
        <f t="shared" si="0"/>
        <v>14</v>
      </c>
      <c r="C23" s="1"/>
      <c r="D23" s="2"/>
      <c r="E23" s="2"/>
      <c r="F23" s="2"/>
    </row>
    <row r="24" spans="2:6" x14ac:dyDescent="0.3">
      <c r="B24" s="3">
        <f t="shared" si="0"/>
        <v>15</v>
      </c>
      <c r="C24" s="1"/>
      <c r="D24" s="2"/>
      <c r="E24" s="2"/>
      <c r="F24" s="2"/>
    </row>
    <row r="25" spans="2:6" x14ac:dyDescent="0.3">
      <c r="B25" s="3">
        <f t="shared" si="0"/>
        <v>16</v>
      </c>
      <c r="C25" s="1"/>
      <c r="D25" s="2"/>
      <c r="E25" s="2"/>
      <c r="F25" s="2"/>
    </row>
    <row r="26" spans="2:6" x14ac:dyDescent="0.3">
      <c r="B26" s="3">
        <f t="shared" si="0"/>
        <v>17</v>
      </c>
      <c r="C26" s="1"/>
      <c r="D26" s="1"/>
      <c r="E26" s="2"/>
      <c r="F26" s="2"/>
    </row>
    <row r="27" spans="2:6" x14ac:dyDescent="0.3">
      <c r="B27" s="3">
        <f t="shared" si="0"/>
        <v>18</v>
      </c>
      <c r="C27" s="1"/>
      <c r="D27" s="2"/>
      <c r="E27" s="1"/>
      <c r="F27" s="1"/>
    </row>
    <row r="28" spans="2:6" x14ac:dyDescent="0.3">
      <c r="B28" s="3">
        <f t="shared" si="0"/>
        <v>19</v>
      </c>
      <c r="C28" s="1"/>
      <c r="D28" s="2"/>
      <c r="E28" s="2"/>
      <c r="F28" s="2"/>
    </row>
    <row r="29" spans="2:6" x14ac:dyDescent="0.3">
      <c r="B29" s="3">
        <f t="shared" si="0"/>
        <v>20</v>
      </c>
      <c r="C29" s="1"/>
      <c r="D29" s="2"/>
      <c r="E29" s="2"/>
      <c r="F29" s="2"/>
    </row>
    <row r="30" spans="2:6" x14ac:dyDescent="0.3">
      <c r="B30" s="3">
        <f t="shared" si="0"/>
        <v>21</v>
      </c>
      <c r="C30" s="1"/>
      <c r="D30" s="2"/>
      <c r="E30" s="2"/>
      <c r="F30" s="2"/>
    </row>
    <row r="32" spans="2:6" x14ac:dyDescent="0.3">
      <c r="C32" s="40" t="s">
        <v>86</v>
      </c>
      <c r="D32" s="35"/>
      <c r="E32" s="35"/>
      <c r="F32" s="18"/>
    </row>
    <row r="34" spans="4:6" x14ac:dyDescent="0.3">
      <c r="D34" t="s">
        <v>87</v>
      </c>
    </row>
    <row r="35" spans="4:6" x14ac:dyDescent="0.3">
      <c r="F35" s="21"/>
    </row>
  </sheetData>
  <mergeCells count="6">
    <mergeCell ref="C32:E32"/>
    <mergeCell ref="H1:J1"/>
    <mergeCell ref="D6:E6"/>
    <mergeCell ref="D5:E5"/>
    <mergeCell ref="D4:E4"/>
    <mergeCell ref="B2:E2"/>
  </mergeCells>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RĂZVAN NEGREA</cp:lastModifiedBy>
  <dcterms:created xsi:type="dcterms:W3CDTF">2015-02-21T15:59:19Z</dcterms:created>
  <dcterms:modified xsi:type="dcterms:W3CDTF">2026-03-14T11:15:14Z</dcterms:modified>
</cp:coreProperties>
</file>